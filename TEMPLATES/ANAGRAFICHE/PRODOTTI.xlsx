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Progetti\Tjx operatività\TEMPLATES\ANAGRAFICHE\"/>
    </mc:Choice>
  </mc:AlternateContent>
  <xr:revisionPtr revIDLastSave="0" documentId="13_ncr:1_{2BEEA07A-9FC6-4305-AB2A-A77C230EAC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 APR" sheetId="1" r:id="rId1"/>
  </sheets>
  <definedNames>
    <definedName name="_xlnm._FilterDatabase" localSheetId="0" hidden="1">'2026 APR'!$A$1:$T$102</definedName>
    <definedName name="_xlnm.Print_Area" localSheetId="0">'2026 APR'!$A$1:$O$75</definedName>
    <definedName name="_xlnm.Print_Titles" localSheetId="0">'2026 APR'!$1:$1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9" i="1" l="1"/>
  <c r="K100" i="1"/>
  <c r="K101" i="1"/>
  <c r="K102" i="1"/>
  <c r="G98" i="1"/>
  <c r="G99" i="1"/>
  <c r="G100" i="1"/>
  <c r="G101" i="1"/>
  <c r="G102" i="1"/>
  <c r="K98" i="1"/>
  <c r="K97" i="1"/>
  <c r="G97" i="1"/>
  <c r="K96" i="1"/>
  <c r="G96" i="1"/>
  <c r="K95" i="1"/>
  <c r="G95" i="1"/>
  <c r="G94" i="1"/>
  <c r="K94" i="1"/>
  <c r="G93" i="1"/>
  <c r="G92" i="1"/>
  <c r="K92" i="1"/>
  <c r="K93" i="1"/>
  <c r="K91" i="1"/>
  <c r="G91" i="1"/>
  <c r="G90" i="1"/>
  <c r="G89" i="1"/>
  <c r="G88" i="1"/>
  <c r="G87" i="1"/>
  <c r="G86" i="1"/>
  <c r="G85" i="1"/>
  <c r="G84" i="1"/>
  <c r="G83" i="1"/>
  <c r="G82" i="1"/>
  <c r="G81" i="1"/>
  <c r="G80" i="1"/>
  <c r="K79" i="1"/>
  <c r="K80" i="1"/>
  <c r="K81" i="1"/>
  <c r="K82" i="1"/>
  <c r="K83" i="1"/>
  <c r="K84" i="1"/>
  <c r="K85" i="1"/>
  <c r="K86" i="1"/>
  <c r="K87" i="1"/>
  <c r="K88" i="1"/>
  <c r="K89" i="1"/>
  <c r="K90" i="1"/>
  <c r="K50" i="1"/>
  <c r="K49" i="1"/>
  <c r="G50" i="1"/>
  <c r="G49" i="1"/>
  <c r="K64" i="1"/>
  <c r="G64" i="1"/>
  <c r="K63" i="1"/>
  <c r="G63" i="1"/>
  <c r="K78" i="1"/>
  <c r="G78" i="1"/>
  <c r="K77" i="1"/>
  <c r="G77" i="1"/>
  <c r="G62" i="1"/>
  <c r="G61" i="1"/>
  <c r="G60" i="1"/>
  <c r="G59" i="1"/>
  <c r="G58" i="1"/>
  <c r="G57" i="1"/>
  <c r="G56" i="1"/>
  <c r="G55" i="1"/>
  <c r="G54" i="1"/>
  <c r="G53" i="1"/>
  <c r="G52" i="1"/>
  <c r="K51" i="1"/>
  <c r="G51" i="1"/>
  <c r="K66" i="1"/>
  <c r="K67" i="1"/>
  <c r="K68" i="1"/>
  <c r="K69" i="1"/>
  <c r="K70" i="1"/>
  <c r="K71" i="1"/>
  <c r="K72" i="1"/>
  <c r="K73" i="1"/>
  <c r="K74" i="1"/>
  <c r="K75" i="1"/>
  <c r="K76" i="1"/>
  <c r="G76" i="1"/>
  <c r="G75" i="1"/>
  <c r="G74" i="1"/>
  <c r="G73" i="1"/>
  <c r="G72" i="1"/>
  <c r="G71" i="1"/>
  <c r="G70" i="1"/>
  <c r="G69" i="1"/>
  <c r="G68" i="1"/>
  <c r="G67" i="1"/>
  <c r="G66" i="1"/>
  <c r="K59" i="1"/>
  <c r="K60" i="1"/>
  <c r="K61" i="1"/>
  <c r="K62" i="1"/>
  <c r="K65" i="1"/>
  <c r="K37" i="1"/>
  <c r="K38" i="1"/>
  <c r="K39" i="1"/>
  <c r="K40" i="1"/>
  <c r="K41" i="1"/>
  <c r="K42" i="1"/>
  <c r="K43" i="1"/>
  <c r="K44" i="1"/>
  <c r="K45" i="1"/>
  <c r="K46" i="1"/>
  <c r="K47" i="1"/>
  <c r="K48" i="1"/>
  <c r="K52" i="1"/>
  <c r="K53" i="1"/>
  <c r="K54" i="1"/>
  <c r="K55" i="1"/>
  <c r="K27" i="1"/>
  <c r="K28" i="1"/>
  <c r="K29" i="1"/>
  <c r="K30" i="1"/>
  <c r="K31" i="1"/>
  <c r="K32" i="1"/>
  <c r="K33" i="1"/>
  <c r="K34" i="1"/>
  <c r="K35" i="1"/>
  <c r="K36" i="1"/>
  <c r="K56" i="1"/>
  <c r="K57" i="1"/>
  <c r="K58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65" i="1"/>
  <c r="G79" i="1"/>
  <c r="K22" i="1"/>
  <c r="G22" i="1"/>
  <c r="K21" i="1"/>
  <c r="G21" i="1"/>
  <c r="K20" i="1"/>
  <c r="G20" i="1"/>
  <c r="K19" i="1"/>
  <c r="G19" i="1"/>
  <c r="K18" i="1"/>
  <c r="G18" i="1"/>
  <c r="K10" i="1"/>
  <c r="G10" i="1"/>
  <c r="K5" i="1"/>
  <c r="K6" i="1"/>
  <c r="K7" i="1"/>
  <c r="K8" i="1"/>
  <c r="K9" i="1"/>
  <c r="K11" i="1"/>
  <c r="K12" i="1"/>
  <c r="K13" i="1"/>
  <c r="K14" i="1"/>
  <c r="K15" i="1"/>
  <c r="K16" i="1"/>
  <c r="K17" i="1"/>
  <c r="K23" i="1"/>
  <c r="K24" i="1"/>
  <c r="K25" i="1"/>
  <c r="K26" i="1"/>
  <c r="K4" i="1"/>
  <c r="K3" i="1"/>
  <c r="K2" i="1"/>
  <c r="G3" i="1"/>
  <c r="G4" i="1"/>
  <c r="G5" i="1"/>
  <c r="G6" i="1"/>
  <c r="G7" i="1"/>
  <c r="G8" i="1"/>
  <c r="G9" i="1"/>
  <c r="G11" i="1"/>
  <c r="G12" i="1"/>
  <c r="G13" i="1"/>
  <c r="G14" i="1"/>
  <c r="G15" i="1"/>
  <c r="G16" i="1"/>
  <c r="G17" i="1"/>
  <c r="G23" i="1"/>
  <c r="G24" i="1"/>
  <c r="G25" i="1"/>
  <c r="G26" i="1"/>
  <c r="G27" i="1"/>
  <c r="G28" i="1"/>
  <c r="G29" i="1"/>
  <c r="G30" i="1"/>
  <c r="G31" i="1"/>
  <c r="G2" i="1"/>
</calcChain>
</file>

<file path=xl/sharedStrings.xml><?xml version="1.0" encoding="utf-8"?>
<sst xmlns="http://schemas.openxmlformats.org/spreadsheetml/2006/main" count="315" uniqueCount="223">
  <si>
    <t>PESO LORDO</t>
  </si>
  <si>
    <t>PESO NETTO</t>
  </si>
  <si>
    <t>FORNITORE</t>
  </si>
  <si>
    <t>GIMOKA</t>
  </si>
  <si>
    <t>CIEMME</t>
  </si>
  <si>
    <t>PASTA NATURA</t>
  </si>
  <si>
    <t>SIEGNO1</t>
  </si>
  <si>
    <t>SIECRE</t>
  </si>
  <si>
    <t>SIEESP</t>
  </si>
  <si>
    <t>PCS PER CRT</t>
  </si>
  <si>
    <t>NORD SALSE</t>
  </si>
  <si>
    <t>VOL</t>
  </si>
  <si>
    <t>SGCHE1</t>
  </si>
  <si>
    <t>GFSAMACCHERONI500</t>
  </si>
  <si>
    <t>GFSACONCHIGLIE500</t>
  </si>
  <si>
    <t>GFSACHIFFERINI500</t>
  </si>
  <si>
    <t>CRTS PER PALLET</t>
  </si>
  <si>
    <t>STRAT X PL.</t>
  </si>
  <si>
    <t>CRTS X STRAT</t>
  </si>
  <si>
    <t>DESCRIZIONE</t>
  </si>
  <si>
    <t>TJX STYLE</t>
  </si>
  <si>
    <t>SIEITA</t>
  </si>
  <si>
    <t>1KG ESPRESSO COFFE BEANS BAG NEW</t>
  </si>
  <si>
    <t>1KG COFFEE CREAM BEANS BAG NEW</t>
  </si>
  <si>
    <t>1KG ITALIANO BEANS BAG NEW</t>
  </si>
  <si>
    <t>SAPISCREAM</t>
  </si>
  <si>
    <t>SAHAZCREAM</t>
  </si>
  <si>
    <t>SALEMCURD</t>
  </si>
  <si>
    <t>SAORACURD</t>
  </si>
  <si>
    <t>CAMPO D'ORO</t>
  </si>
  <si>
    <t>180GR PISTACHIO BUTTER</t>
  </si>
  <si>
    <t>180GR HAZELNUT BUTTER</t>
  </si>
  <si>
    <t>390GR LEMON CURD</t>
  </si>
  <si>
    <t>390GR ORANGE CURD</t>
  </si>
  <si>
    <t>LARGHEZZA PALLET</t>
  </si>
  <si>
    <t>PROFONDITA PALLET</t>
  </si>
  <si>
    <t>MISURA CARTONE 
LARGHEZZA</t>
  </si>
  <si>
    <t>MISURA CARTONE 
PROFONDITA</t>
  </si>
  <si>
    <t>MISURA CARTONE 
ALTEZZA</t>
  </si>
  <si>
    <t>500G CHEESE GNOCCHI SENA ARTE</t>
  </si>
  <si>
    <t>500G PLAIN GNOCCHI SENA ARTE</t>
  </si>
  <si>
    <t>1KG PLAIN GNOCCHI SIENA ARTE</t>
  </si>
  <si>
    <t>1KG CHEESE GNOCCHI SIENA TRAY</t>
  </si>
  <si>
    <t>SGCHEBOX</t>
  </si>
  <si>
    <t>SIEGNOBOX</t>
  </si>
  <si>
    <t>SGCORBOX</t>
  </si>
  <si>
    <t>500G CORN GF GNOCCHI SENA ARTE</t>
  </si>
  <si>
    <t>ARTPESCOL</t>
  </si>
  <si>
    <t>ARTPESVEG</t>
  </si>
  <si>
    <t>ARTPESTRUCOL</t>
  </si>
  <si>
    <t>BASIL PESTO 180G</t>
  </si>
  <si>
    <t>TRUFFLE PESTO 180G</t>
  </si>
  <si>
    <t>VEGAN PESTO 180G</t>
  </si>
  <si>
    <t>ARTPESARTCOL</t>
  </si>
  <si>
    <t>ARTICHOKE PESTO 180G</t>
  </si>
  <si>
    <t>HOT PESTO 180G</t>
  </si>
  <si>
    <t>ARTPESHOT</t>
  </si>
  <si>
    <t>ARTPESWAL</t>
  </si>
  <si>
    <t>ARTPESSIC</t>
  </si>
  <si>
    <t>ARTPESRED</t>
  </si>
  <si>
    <t>180G WALNUT PESTO</t>
  </si>
  <si>
    <t>180G SICILIAN PESTO</t>
  </si>
  <si>
    <t>180G RED PESTO 180G</t>
  </si>
  <si>
    <t>ARTPESPIS</t>
  </si>
  <si>
    <t>180G PISTACHIO PESTO</t>
  </si>
  <si>
    <t>SENAPOCAPS</t>
  </si>
  <si>
    <t>SENAFIRCAPS</t>
  </si>
  <si>
    <t>SENAPORCAPS</t>
  </si>
  <si>
    <t>SENAVECAPS</t>
  </si>
  <si>
    <t>SENAP100</t>
  </si>
  <si>
    <t>SENAFIR100</t>
  </si>
  <si>
    <t>SENA500GBEANS</t>
  </si>
  <si>
    <t>SENAP500</t>
  </si>
  <si>
    <t>SENAFIR500</t>
  </si>
  <si>
    <t>SENAVANAMA500</t>
  </si>
  <si>
    <t>SENAHAZTOR500</t>
  </si>
  <si>
    <t>SENAPISTAO500</t>
  </si>
  <si>
    <t>SENATIRVER500</t>
  </si>
  <si>
    <t>SENACANSIE500</t>
  </si>
  <si>
    <t>10PODS NAPOLI</t>
  </si>
  <si>
    <t>10PODS FIRENZE</t>
  </si>
  <si>
    <t>10PODS POSITANO</t>
  </si>
  <si>
    <t>10PODS VENEZIA</t>
  </si>
  <si>
    <t>1 KG COFFEE BEANS ESPRESSO NAPOLI</t>
  </si>
  <si>
    <t>1KG COFFEE BEANS ESPRESSO FIRENZE</t>
  </si>
  <si>
    <t>500GR COFFEE BEANS ESPRESSO NAPOLI</t>
  </si>
  <si>
    <t>500GR COFFEE BEANS ESPRESSO FIRENZE</t>
  </si>
  <si>
    <t>500GR COFFEE AMALFI VANIGLIA</t>
  </si>
  <si>
    <t>500GR COFFEE TORINO HAZELNUT</t>
  </si>
  <si>
    <t>500GR COFFEE TAORMINA PISTACHIO</t>
  </si>
  <si>
    <t>500GR COFFEE VERONA TIRAMISU</t>
  </si>
  <si>
    <t>500GR COFFEE SIENA ALMOND BISCOTTI</t>
  </si>
  <si>
    <t>PASKA' SRL</t>
  </si>
  <si>
    <t>500GR ROASTED COFFEE BEANS</t>
  </si>
  <si>
    <t>LIKING SRL</t>
  </si>
  <si>
    <t>SALEMCAND200</t>
  </si>
  <si>
    <t>SAORACAND200</t>
  </si>
  <si>
    <t>SACITRCAND200</t>
  </si>
  <si>
    <t>SAM&amp;MCAND200</t>
  </si>
  <si>
    <t>SAMOUCAND200</t>
  </si>
  <si>
    <t>SATOFFCAND200</t>
  </si>
  <si>
    <t>SAHONCAND200</t>
  </si>
  <si>
    <t>SACOFCAND200</t>
  </si>
  <si>
    <t>SACURRA200</t>
  </si>
  <si>
    <t>SARASP200</t>
  </si>
  <si>
    <t>SASTRAW200</t>
  </si>
  <si>
    <t>SABLACK200</t>
  </si>
  <si>
    <t>SAORACAND300</t>
  </si>
  <si>
    <t>SACITRCAND300</t>
  </si>
  <si>
    <t>SAM&amp;MCAND300</t>
  </si>
  <si>
    <t>SAMOUCAND300</t>
  </si>
  <si>
    <t>SATOFFCAN300</t>
  </si>
  <si>
    <t>SAHONCAND300</t>
  </si>
  <si>
    <t>SACOFCAND300</t>
  </si>
  <si>
    <t>SACURRA300</t>
  </si>
  <si>
    <t>SARASP300</t>
  </si>
  <si>
    <t>SASTRAW300</t>
  </si>
  <si>
    <t>SABLACK300</t>
  </si>
  <si>
    <t>Sparkling candies with natural flavour from Italian lemons 200 GR</t>
  </si>
  <si>
    <t>Sparkling candies with natural flavour from Italian ORANGE 200 GR</t>
  </si>
  <si>
    <t>Citrus mix candies 200 GR</t>
  </si>
  <si>
    <t>Milk and mint hard candies 200gr</t>
  </si>
  <si>
    <t>Caramel candies 200gr</t>
  </si>
  <si>
    <t>Toffee Assorted (cocoa, coconut, hazelnut, coffee) 200GR</t>
  </si>
  <si>
    <t>Honey filled candies 200 GR</t>
  </si>
  <si>
    <t>Coffee filled candies 200GR</t>
  </si>
  <si>
    <t>Currant filled candies 200gr</t>
  </si>
  <si>
    <t xml:space="preserve">Raspberry filled candies 200gr </t>
  </si>
  <si>
    <t>Strawberry filled candies 200gr</t>
  </si>
  <si>
    <t xml:space="preserve">Blackberry filled candies 200gr </t>
  </si>
  <si>
    <t>Sparkling candies with natural flavour from Italian lemons 300 GR</t>
  </si>
  <si>
    <t>Sparkling candies with natural flavour from Italian ORANGE 300 GR</t>
  </si>
  <si>
    <t>Citrus mix candies 300 GR</t>
  </si>
  <si>
    <t>Milk and mint hard candies 300gr</t>
  </si>
  <si>
    <t>Caramel candies 300gr</t>
  </si>
  <si>
    <t>Toffee Assorted (cocoa, coconut, hazelnut, coffee) 300GR</t>
  </si>
  <si>
    <t>Honey filled candies 300 GR</t>
  </si>
  <si>
    <t>Coffee filled candies 300GR</t>
  </si>
  <si>
    <t>Currant filled candies 300gr</t>
  </si>
  <si>
    <t xml:space="preserve">Raspberry filled candies 300gr </t>
  </si>
  <si>
    <t>Strawberry filled candies 300gr</t>
  </si>
  <si>
    <t xml:space="preserve">Blackberry filled candies 300gr </t>
  </si>
  <si>
    <t>SALEMCAND300</t>
  </si>
  <si>
    <t>SALEMCAND500</t>
  </si>
  <si>
    <t>Sparkling candies with natural flavour from Italian lemons 500 GR</t>
  </si>
  <si>
    <t>Sparkling candies with natural flavour from Italian ORANGE 500 GR</t>
  </si>
  <si>
    <t>Citrus mix candies 500 GR</t>
  </si>
  <si>
    <t>Milk and mint hard candies 500gr</t>
  </si>
  <si>
    <t>Caramel candies 500gr</t>
  </si>
  <si>
    <t>Toffee Assorted (cocoa, coconut, hazelnut, coffee) 500GR</t>
  </si>
  <si>
    <t>Honey filled candies 500 GR</t>
  </si>
  <si>
    <t>Coffee filled candies 500GR</t>
  </si>
  <si>
    <t>Currant filled candies 500gr</t>
  </si>
  <si>
    <t xml:space="preserve">Raspberry filled candies 500gr </t>
  </si>
  <si>
    <t>Strawberry filled candies 500gr</t>
  </si>
  <si>
    <t xml:space="preserve">Blackberry filled candies 500gr </t>
  </si>
  <si>
    <t>SAORACAND500</t>
  </si>
  <si>
    <t>SACITRCAND500</t>
  </si>
  <si>
    <t>SAM&amp;MCAND500</t>
  </si>
  <si>
    <t>SAMOUCAND500</t>
  </si>
  <si>
    <t>SATOFFCAN500</t>
  </si>
  <si>
    <t>SAHONCAND500</t>
  </si>
  <si>
    <t>SACOFCAND500</t>
  </si>
  <si>
    <t>SACURRA500</t>
  </si>
  <si>
    <t>SARASP500</t>
  </si>
  <si>
    <t>SASTRAW500</t>
  </si>
  <si>
    <t>SABLACK500</t>
  </si>
  <si>
    <t>SABAN200</t>
  </si>
  <si>
    <t>SAMANG200</t>
  </si>
  <si>
    <t>Hard filled candies Banana 200g</t>
  </si>
  <si>
    <t>Hard filled candies Mango 200g</t>
  </si>
  <si>
    <t>SABAN300</t>
  </si>
  <si>
    <t>SAMANG300</t>
  </si>
  <si>
    <t>Hard filled candies Banana 300g</t>
  </si>
  <si>
    <t>Hard filled candies Mango 300g</t>
  </si>
  <si>
    <t>SABAN500</t>
  </si>
  <si>
    <t>SAMANG500</t>
  </si>
  <si>
    <t>Hard filled candies Banana 500g</t>
  </si>
  <si>
    <t>Hard filled candies Mango 500g</t>
  </si>
  <si>
    <t>CERRETO</t>
  </si>
  <si>
    <t>SACHSC</t>
  </si>
  <si>
    <t>SALEBTAB</t>
  </si>
  <si>
    <t>SAINDCUR</t>
  </si>
  <si>
    <t>SAMEDTAJ</t>
  </si>
  <si>
    <t>210 GR 5 minutes chili sin carne</t>
  </si>
  <si>
    <t>210 GR 5 minutes Lebanese Tabouleh</t>
  </si>
  <si>
    <t>210 GR 15 minutes Indian curry</t>
  </si>
  <si>
    <t>210 GR 15 vegetable soup 15 minutes mediterranean style tajine</t>
  </si>
  <si>
    <t>300 GR Lemon risotto</t>
  </si>
  <si>
    <t>300 GR Truffle risotto</t>
  </si>
  <si>
    <t>300 GR Porcini risotto</t>
  </si>
  <si>
    <t>300 GR Saffron risotto</t>
  </si>
  <si>
    <t>210 GR Tuscan soup</t>
  </si>
  <si>
    <t>210 GR Pasta and chickpeas soup</t>
  </si>
  <si>
    <t>210 GR Pasta and beans soup</t>
  </si>
  <si>
    <t>210 GR Pasta and peas soup</t>
  </si>
  <si>
    <t>MACCHERONI GF 500G CORN RICE PASTA</t>
  </si>
  <si>
    <t>CONCHIGLIE GF 500G CORN RICE PASTA</t>
  </si>
  <si>
    <t>CHIFFERINI GF 500G CORN RICE PASTA</t>
  </si>
  <si>
    <t>PNFARM250</t>
  </si>
  <si>
    <t>PNUNI250</t>
  </si>
  <si>
    <t>PNSEA250</t>
  </si>
  <si>
    <t>PNSAV250</t>
  </si>
  <si>
    <t>ORG250GRFARMANIM GF VEG</t>
  </si>
  <si>
    <t>ORG250GR UNICORNS GF VEG</t>
  </si>
  <si>
    <t>ORG250GRSEA WORLD GF VEGPASTA TRICOLOR  CORN AND VEGETABLES CARROTS TOM</t>
  </si>
  <si>
    <t>ORG 250GR SAVANA ANIM GF VEG</t>
  </si>
  <si>
    <t>SATAGLENT</t>
  </si>
  <si>
    <t>SATAGPEAS</t>
  </si>
  <si>
    <t>SATAGCORN</t>
  </si>
  <si>
    <t>250gr GF TAGLIATELLE of RED LENTILS AND CORN</t>
  </si>
  <si>
    <t>250gr GF TAGLIATELLE of GREEN PEAS AND CORN</t>
  </si>
  <si>
    <t>250gr GF TAGLIATELLE of CORN AND RICE</t>
  </si>
  <si>
    <t>SAMFWHME</t>
  </si>
  <si>
    <t>250gr GF MAFALDA WHOLEMEAL GRAINS</t>
  </si>
  <si>
    <t>SACOLUSA500G</t>
  </si>
  <si>
    <t>MAZZI</t>
  </si>
  <si>
    <t>COLOR PASTA USA FLAG 500gr</t>
  </si>
  <si>
    <t>HAS_SFARINATI</t>
  </si>
  <si>
    <t>HAS_P2</t>
  </si>
  <si>
    <t>NC</t>
  </si>
  <si>
    <t>COSTO</t>
  </si>
  <si>
    <t>VENDITA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</si>
</sst>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00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Rubik Light"/>
    </font>
    <font>
      <b/>
      <i/>
      <sz val="10"/>
      <color theme="1"/>
      <name val="Aptos"/>
      <family val="2"/>
    </font>
    <font>
      <sz val="10"/>
      <color theme="1"/>
      <name val="Aptos"/>
      <family val="2"/>
    </font>
    <font>
      <sz val="10"/>
      <color rgb="FF000000"/>
      <name val="Aptos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44" fontId="6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0" borderId="0" xfId="0" applyFont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vertic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4" fontId="4" fillId="2" borderId="1" xfId="0" applyNumberFormat="1" applyFont="1" applyFill="1" applyBorder="1" applyAlignment="1">
      <alignment horizontal="right" vertical="center"/>
    </xf>
    <xf numFmtId="2" fontId="5" fillId="0" borderId="1" xfId="0" applyNumberFormat="1" applyFont="1" applyBorder="1" applyAlignment="1">
      <alignment horizontal="center" vertical="center"/>
    </xf>
    <xf numFmtId="44" fontId="3" fillId="4" borderId="2" xfId="3" applyFont="1" applyFill="1" applyBorder="1" applyAlignment="1">
      <alignment horizontal="center" vertical="center"/>
    </xf>
    <xf numFmtId="44" fontId="4" fillId="2" borderId="1" xfId="3" applyFont="1" applyFill="1" applyBorder="1" applyAlignment="1">
      <alignment horizontal="center" vertical="center"/>
    </xf>
    <xf numFmtId="44" fontId="2" fillId="0" borderId="0" xfId="3" applyFont="1" applyAlignment="1">
      <alignment horizontal="center"/>
    </xf>
    <xf numFmtId="44" fontId="4" fillId="5" borderId="1" xfId="3" applyFont="1" applyFill="1" applyBorder="1" applyAlignment="1">
      <alignment horizontal="center" vertical="center"/>
    </xf>
  </cellXfs>
  <cellStyles count="4">
    <cellStyle name="Currency" xfId="3" builtinId="4"/>
    <cellStyle name="Normal" xfId="0" builtinId="0"/>
    <cellStyle name="Normal 2" xfId="1" xr:uid="{00000000-0005-0000-0000-000000000000}"/>
    <cellStyle name="Normal 4 2" xfId="2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102"/>
  <sheetViews>
    <sheetView tabSelected="1" zoomScaleNormal="100" workbookViewId="0">
      <pane xSplit="3" ySplit="8" topLeftCell="J9" activePane="bottomRight" state="frozen"/>
      <selection pane="topRight" activeCell="D1" sqref="D1"/>
      <selection pane="bottomLeft" activeCell="A9" sqref="A9"/>
      <selection pane="bottomRight" activeCell="K106" sqref="K106"/>
    </sheetView>
  </sheetViews>
  <sheetFormatPr defaultColWidth="9.140625" defaultRowHeight="12.75"/>
  <cols>
    <col min="1" max="1" width="16.85546875" style="1" bestFit="1" customWidth="1"/>
    <col min="2" max="2" width="20.42578125" style="1" bestFit="1" customWidth="1"/>
    <col min="3" max="3" width="77" style="1" bestFit="1" customWidth="1"/>
    <col min="4" max="4" width="18.5703125" style="4" bestFit="1" customWidth="1"/>
    <col min="5" max="5" width="17.7109375" style="4" bestFit="1" customWidth="1"/>
    <col min="6" max="6" width="20" style="4" bestFit="1" customWidth="1"/>
    <col min="7" max="9" width="23.5703125" style="4" bestFit="1" customWidth="1"/>
    <col min="10" max="10" width="23.5703125" style="1" bestFit="1" customWidth="1"/>
    <col min="11" max="11" width="10" style="1" bestFit="1" customWidth="1"/>
    <col min="12" max="12" width="18.5703125" style="1" bestFit="1" customWidth="1"/>
    <col min="13" max="13" width="18.5703125" style="1" customWidth="1"/>
    <col min="14" max="14" width="26.28515625" style="1" bestFit="1" customWidth="1"/>
    <col min="15" max="18" width="26.42578125" style="4" bestFit="1" customWidth="1"/>
    <col min="19" max="19" width="13.5703125" style="26" bestFit="1" customWidth="1"/>
    <col min="20" max="20" width="14.7109375" style="26" bestFit="1" customWidth="1"/>
    <col min="21" max="16384" width="9.140625" style="1"/>
  </cols>
  <sheetData>
    <row r="1" spans="1:20" ht="51.75" customHeight="1">
      <c r="A1" s="5" t="s">
        <v>2</v>
      </c>
      <c r="B1" s="5" t="s">
        <v>20</v>
      </c>
      <c r="C1" s="5" t="s">
        <v>19</v>
      </c>
      <c r="D1" s="5" t="s">
        <v>9</v>
      </c>
      <c r="E1" s="5" t="s">
        <v>17</v>
      </c>
      <c r="F1" s="5" t="s">
        <v>18</v>
      </c>
      <c r="G1" s="5" t="s">
        <v>16</v>
      </c>
      <c r="H1" s="6" t="s">
        <v>36</v>
      </c>
      <c r="I1" s="6" t="s">
        <v>37</v>
      </c>
      <c r="J1" s="6" t="s">
        <v>38</v>
      </c>
      <c r="K1" s="5" t="s">
        <v>11</v>
      </c>
      <c r="L1" s="5" t="s">
        <v>0</v>
      </c>
      <c r="M1" s="5" t="s">
        <v>1</v>
      </c>
      <c r="N1" s="5" t="s">
        <v>34</v>
      </c>
      <c r="O1" s="5" t="s">
        <v>35</v>
      </c>
      <c r="P1" s="5" t="s">
        <v>218</v>
      </c>
      <c r="Q1" s="5" t="s">
        <v>219</v>
      </c>
      <c r="R1" s="5" t="s">
        <v>220</v>
      </c>
      <c r="S1" s="24" t="s">
        <v>221</v>
      </c>
      <c r="T1" s="24" t="s">
        <v>222</v>
      </c>
    </row>
    <row r="2" spans="1:20" ht="13.5">
      <c r="A2" s="7" t="s">
        <v>3</v>
      </c>
      <c r="B2" s="7" t="s">
        <v>8</v>
      </c>
      <c r="C2" s="7" t="s">
        <v>22</v>
      </c>
      <c r="D2" s="8">
        <v>6</v>
      </c>
      <c r="E2" s="8">
        <v>7</v>
      </c>
      <c r="F2" s="8">
        <v>12</v>
      </c>
      <c r="G2" s="8">
        <f>E2*F2</f>
        <v>84</v>
      </c>
      <c r="H2" s="9">
        <v>29.6</v>
      </c>
      <c r="I2" s="9">
        <v>27</v>
      </c>
      <c r="J2" s="9">
        <v>27</v>
      </c>
      <c r="K2" s="10">
        <f>H2*I2*J2/1000000</f>
        <v>2.1578400000000001E-2</v>
      </c>
      <c r="L2" s="9">
        <v>6.39</v>
      </c>
      <c r="M2" s="9">
        <v>6</v>
      </c>
      <c r="N2" s="11">
        <v>80</v>
      </c>
      <c r="O2" s="11">
        <v>120</v>
      </c>
      <c r="P2" s="11" t="b">
        <v>0</v>
      </c>
      <c r="Q2" s="11" t="b">
        <v>0</v>
      </c>
      <c r="R2" s="11"/>
      <c r="S2" s="25">
        <v>6</v>
      </c>
      <c r="T2" s="25">
        <v>7.75</v>
      </c>
    </row>
    <row r="3" spans="1:20" ht="13.5">
      <c r="A3" s="7" t="s">
        <v>3</v>
      </c>
      <c r="B3" s="7" t="s">
        <v>7</v>
      </c>
      <c r="C3" s="7" t="s">
        <v>23</v>
      </c>
      <c r="D3" s="8">
        <v>6</v>
      </c>
      <c r="E3" s="8">
        <v>7</v>
      </c>
      <c r="F3" s="8">
        <v>12</v>
      </c>
      <c r="G3" s="8">
        <f t="shared" ref="G3:G65" si="0">E3*F3</f>
        <v>84</v>
      </c>
      <c r="H3" s="9">
        <v>29.6</v>
      </c>
      <c r="I3" s="9">
        <v>27</v>
      </c>
      <c r="J3" s="9">
        <v>27</v>
      </c>
      <c r="K3" s="10">
        <f>H3*I3*J3/1000000</f>
        <v>2.1578400000000001E-2</v>
      </c>
      <c r="L3" s="9">
        <v>6.39</v>
      </c>
      <c r="M3" s="9">
        <v>6</v>
      </c>
      <c r="N3" s="11">
        <v>80</v>
      </c>
      <c r="O3" s="11">
        <v>120</v>
      </c>
      <c r="P3" s="11" t="b">
        <v>0</v>
      </c>
      <c r="Q3" s="11" t="b">
        <v>0</v>
      </c>
      <c r="R3" s="11"/>
      <c r="S3" s="25"/>
      <c r="T3" s="25"/>
    </row>
    <row r="4" spans="1:20" ht="13.5">
      <c r="A4" s="7" t="s">
        <v>3</v>
      </c>
      <c r="B4" s="7" t="s">
        <v>21</v>
      </c>
      <c r="C4" s="7" t="s">
        <v>24</v>
      </c>
      <c r="D4" s="8">
        <v>6</v>
      </c>
      <c r="E4" s="8">
        <v>7</v>
      </c>
      <c r="F4" s="8">
        <v>12</v>
      </c>
      <c r="G4" s="8">
        <f t="shared" si="0"/>
        <v>84</v>
      </c>
      <c r="H4" s="9">
        <v>29.6</v>
      </c>
      <c r="I4" s="9">
        <v>27</v>
      </c>
      <c r="J4" s="9">
        <v>27</v>
      </c>
      <c r="K4" s="10">
        <f>H4*I4*J4/1000000</f>
        <v>2.1578400000000001E-2</v>
      </c>
      <c r="L4" s="9">
        <v>6.39</v>
      </c>
      <c r="M4" s="9">
        <v>6</v>
      </c>
      <c r="N4" s="11">
        <v>80</v>
      </c>
      <c r="O4" s="11">
        <v>120</v>
      </c>
      <c r="P4" s="11" t="b">
        <v>0</v>
      </c>
      <c r="Q4" s="11" t="b">
        <v>0</v>
      </c>
      <c r="R4" s="11"/>
      <c r="S4" s="25"/>
      <c r="T4" s="25"/>
    </row>
    <row r="5" spans="1:20" s="2" customFormat="1" ht="13.5">
      <c r="A5" s="12" t="s">
        <v>29</v>
      </c>
      <c r="B5" s="12" t="s">
        <v>25</v>
      </c>
      <c r="C5" s="12" t="s">
        <v>30</v>
      </c>
      <c r="D5" s="13">
        <v>6</v>
      </c>
      <c r="E5" s="13">
        <v>13</v>
      </c>
      <c r="F5" s="13">
        <v>37</v>
      </c>
      <c r="G5" s="8">
        <f t="shared" si="0"/>
        <v>481</v>
      </c>
      <c r="H5" s="14">
        <v>21</v>
      </c>
      <c r="I5" s="14">
        <v>14</v>
      </c>
      <c r="J5" s="14">
        <v>9</v>
      </c>
      <c r="K5" s="10">
        <f t="shared" ref="K5:K72" si="1">H5*I5*J5/1000000</f>
        <v>2.6459999999999999E-3</v>
      </c>
      <c r="L5" s="14">
        <v>2.04</v>
      </c>
      <c r="M5" s="14">
        <v>1.08</v>
      </c>
      <c r="N5" s="11">
        <v>100</v>
      </c>
      <c r="O5" s="11">
        <v>120</v>
      </c>
      <c r="P5" s="11" t="b">
        <v>0</v>
      </c>
      <c r="Q5" s="11" t="b">
        <v>0</v>
      </c>
      <c r="R5" s="11"/>
      <c r="S5" s="25"/>
      <c r="T5" s="25"/>
    </row>
    <row r="6" spans="1:20" s="2" customFormat="1" ht="13.5">
      <c r="A6" s="12" t="s">
        <v>29</v>
      </c>
      <c r="B6" s="7" t="s">
        <v>26</v>
      </c>
      <c r="C6" s="7" t="s">
        <v>31</v>
      </c>
      <c r="D6" s="8">
        <v>6</v>
      </c>
      <c r="E6" s="13">
        <v>13</v>
      </c>
      <c r="F6" s="13">
        <v>37</v>
      </c>
      <c r="G6" s="8">
        <f t="shared" si="0"/>
        <v>481</v>
      </c>
      <c r="H6" s="14">
        <v>21</v>
      </c>
      <c r="I6" s="14">
        <v>14</v>
      </c>
      <c r="J6" s="14">
        <v>9</v>
      </c>
      <c r="K6" s="10">
        <f t="shared" si="1"/>
        <v>2.6459999999999999E-3</v>
      </c>
      <c r="L6" s="14">
        <v>2.04</v>
      </c>
      <c r="M6" s="14">
        <v>1.08</v>
      </c>
      <c r="N6" s="11">
        <v>100</v>
      </c>
      <c r="O6" s="11">
        <v>120</v>
      </c>
      <c r="P6" s="11" t="b">
        <v>0</v>
      </c>
      <c r="Q6" s="11" t="b">
        <v>0</v>
      </c>
      <c r="R6" s="11"/>
      <c r="S6" s="25"/>
      <c r="T6" s="25"/>
    </row>
    <row r="7" spans="1:20" s="2" customFormat="1" ht="13.5">
      <c r="A7" s="12" t="s">
        <v>29</v>
      </c>
      <c r="B7" s="7" t="s">
        <v>27</v>
      </c>
      <c r="C7" s="7" t="s">
        <v>32</v>
      </c>
      <c r="D7" s="8">
        <v>6</v>
      </c>
      <c r="E7" s="8">
        <v>9</v>
      </c>
      <c r="F7" s="8">
        <v>33</v>
      </c>
      <c r="G7" s="8">
        <f t="shared" si="0"/>
        <v>297</v>
      </c>
      <c r="H7" s="9">
        <v>22.8</v>
      </c>
      <c r="I7" s="9">
        <v>15.5</v>
      </c>
      <c r="J7" s="9">
        <v>13</v>
      </c>
      <c r="K7" s="10">
        <f t="shared" si="1"/>
        <v>4.5942000000000005E-3</v>
      </c>
      <c r="L7" s="9">
        <v>3.53</v>
      </c>
      <c r="M7" s="9">
        <v>2.34</v>
      </c>
      <c r="N7" s="11">
        <v>100</v>
      </c>
      <c r="O7" s="11">
        <v>120</v>
      </c>
      <c r="P7" s="11" t="b">
        <v>0</v>
      </c>
      <c r="Q7" s="11" t="b">
        <v>0</v>
      </c>
      <c r="R7" s="11"/>
      <c r="S7" s="25"/>
      <c r="T7" s="25"/>
    </row>
    <row r="8" spans="1:20" ht="13.5">
      <c r="A8" s="12" t="s">
        <v>29</v>
      </c>
      <c r="B8" s="7" t="s">
        <v>28</v>
      </c>
      <c r="C8" s="7" t="s">
        <v>33</v>
      </c>
      <c r="D8" s="8">
        <v>6</v>
      </c>
      <c r="E8" s="8">
        <v>9</v>
      </c>
      <c r="F8" s="8">
        <v>33</v>
      </c>
      <c r="G8" s="8">
        <f t="shared" si="0"/>
        <v>297</v>
      </c>
      <c r="H8" s="9">
        <v>22.8</v>
      </c>
      <c r="I8" s="9">
        <v>15.5</v>
      </c>
      <c r="J8" s="9">
        <v>13</v>
      </c>
      <c r="K8" s="10">
        <f t="shared" si="1"/>
        <v>4.5942000000000005E-3</v>
      </c>
      <c r="L8" s="9">
        <v>3.53</v>
      </c>
      <c r="M8" s="9">
        <v>2.34</v>
      </c>
      <c r="N8" s="11">
        <v>100</v>
      </c>
      <c r="O8" s="11">
        <v>120</v>
      </c>
      <c r="P8" s="11" t="b">
        <v>0</v>
      </c>
      <c r="Q8" s="11" t="b">
        <v>0</v>
      </c>
      <c r="R8" s="11"/>
      <c r="S8" s="25"/>
      <c r="T8" s="25"/>
    </row>
    <row r="9" spans="1:20" ht="13.5">
      <c r="A9" s="7" t="s">
        <v>4</v>
      </c>
      <c r="B9" s="7" t="s">
        <v>43</v>
      </c>
      <c r="C9" s="7" t="s">
        <v>39</v>
      </c>
      <c r="D9" s="8">
        <v>10</v>
      </c>
      <c r="E9" s="8">
        <v>7</v>
      </c>
      <c r="F9" s="8">
        <v>16</v>
      </c>
      <c r="G9" s="8">
        <f t="shared" si="0"/>
        <v>112</v>
      </c>
      <c r="H9" s="9">
        <v>40.299999999999997</v>
      </c>
      <c r="I9" s="9">
        <v>16.100000000000001</v>
      </c>
      <c r="J9" s="9">
        <v>21.1</v>
      </c>
      <c r="K9" s="10">
        <f t="shared" si="1"/>
        <v>1.3690313000000003E-2</v>
      </c>
      <c r="L9" s="9">
        <v>5.5</v>
      </c>
      <c r="M9" s="9">
        <v>5</v>
      </c>
      <c r="N9" s="11">
        <v>100</v>
      </c>
      <c r="O9" s="11">
        <v>120</v>
      </c>
      <c r="P9" s="11" t="b">
        <v>1</v>
      </c>
      <c r="Q9" s="11" t="b">
        <v>1</v>
      </c>
      <c r="R9" s="11">
        <v>19021990</v>
      </c>
      <c r="S9" s="25"/>
      <c r="T9" s="25"/>
    </row>
    <row r="10" spans="1:20" ht="13.5">
      <c r="A10" s="7" t="s">
        <v>4</v>
      </c>
      <c r="B10" s="7" t="s">
        <v>45</v>
      </c>
      <c r="C10" s="7" t="s">
        <v>46</v>
      </c>
      <c r="D10" s="8">
        <v>10</v>
      </c>
      <c r="E10" s="8">
        <v>7</v>
      </c>
      <c r="F10" s="8">
        <v>16</v>
      </c>
      <c r="G10" s="8">
        <f t="shared" ref="G10" si="2">E10*F10</f>
        <v>112</v>
      </c>
      <c r="H10" s="9">
        <v>40.299999999999997</v>
      </c>
      <c r="I10" s="9">
        <v>16.100000000000001</v>
      </c>
      <c r="J10" s="9">
        <v>21.1</v>
      </c>
      <c r="K10" s="10">
        <f t="shared" si="1"/>
        <v>1.3690313000000003E-2</v>
      </c>
      <c r="L10" s="9">
        <v>5.5</v>
      </c>
      <c r="M10" s="9">
        <v>5</v>
      </c>
      <c r="N10" s="11">
        <v>100</v>
      </c>
      <c r="O10" s="11">
        <v>120</v>
      </c>
      <c r="P10" s="11" t="b">
        <v>1</v>
      </c>
      <c r="Q10" s="11" t="b">
        <v>1</v>
      </c>
      <c r="R10" s="11">
        <v>19021990</v>
      </c>
      <c r="S10" s="25"/>
      <c r="T10" s="25"/>
    </row>
    <row r="11" spans="1:20" ht="13.5">
      <c r="A11" s="7" t="s">
        <v>4</v>
      </c>
      <c r="B11" s="7" t="s">
        <v>44</v>
      </c>
      <c r="C11" s="7" t="s">
        <v>40</v>
      </c>
      <c r="D11" s="8">
        <v>10</v>
      </c>
      <c r="E11" s="8">
        <v>7</v>
      </c>
      <c r="F11" s="8">
        <v>16</v>
      </c>
      <c r="G11" s="8">
        <f t="shared" si="0"/>
        <v>112</v>
      </c>
      <c r="H11" s="9">
        <v>40.299999999999997</v>
      </c>
      <c r="I11" s="9">
        <v>16.100000000000001</v>
      </c>
      <c r="J11" s="9">
        <v>21.1</v>
      </c>
      <c r="K11" s="10">
        <f t="shared" si="1"/>
        <v>1.3690313000000003E-2</v>
      </c>
      <c r="L11" s="9">
        <v>5.5</v>
      </c>
      <c r="M11" s="9">
        <v>5</v>
      </c>
      <c r="N11" s="11">
        <v>100</v>
      </c>
      <c r="O11" s="11">
        <v>120</v>
      </c>
      <c r="P11" s="11" t="b">
        <v>1</v>
      </c>
      <c r="Q11" s="11" t="b">
        <v>1</v>
      </c>
      <c r="R11" s="11">
        <v>19021990</v>
      </c>
      <c r="S11" s="25"/>
      <c r="T11" s="25"/>
    </row>
    <row r="12" spans="1:20" ht="13.5">
      <c r="A12" s="7" t="s">
        <v>4</v>
      </c>
      <c r="B12" s="12" t="s">
        <v>6</v>
      </c>
      <c r="C12" s="12" t="s">
        <v>41</v>
      </c>
      <c r="D12" s="13">
        <v>4</v>
      </c>
      <c r="E12" s="13">
        <v>12</v>
      </c>
      <c r="F12" s="13">
        <v>18</v>
      </c>
      <c r="G12" s="8">
        <f t="shared" si="0"/>
        <v>216</v>
      </c>
      <c r="H12" s="14">
        <v>28.7</v>
      </c>
      <c r="I12" s="14">
        <v>20</v>
      </c>
      <c r="J12" s="14">
        <v>13</v>
      </c>
      <c r="K12" s="10">
        <f t="shared" si="1"/>
        <v>7.4619999999999999E-3</v>
      </c>
      <c r="L12" s="14">
        <v>4.3</v>
      </c>
      <c r="M12" s="14">
        <v>4</v>
      </c>
      <c r="N12" s="11">
        <v>100</v>
      </c>
      <c r="O12" s="11">
        <v>120</v>
      </c>
      <c r="P12" s="11" t="b">
        <v>1</v>
      </c>
      <c r="Q12" s="11" t="b">
        <v>1</v>
      </c>
      <c r="R12" s="11">
        <v>19021990</v>
      </c>
      <c r="S12" s="25"/>
      <c r="T12" s="25"/>
    </row>
    <row r="13" spans="1:20" ht="13.5">
      <c r="A13" s="7" t="s">
        <v>4</v>
      </c>
      <c r="B13" s="7" t="s">
        <v>12</v>
      </c>
      <c r="C13" s="7" t="s">
        <v>42</v>
      </c>
      <c r="D13" s="8">
        <v>4</v>
      </c>
      <c r="E13" s="13">
        <v>12</v>
      </c>
      <c r="F13" s="13">
        <v>18</v>
      </c>
      <c r="G13" s="8">
        <f t="shared" si="0"/>
        <v>216</v>
      </c>
      <c r="H13" s="14">
        <v>28.7</v>
      </c>
      <c r="I13" s="14">
        <v>20</v>
      </c>
      <c r="J13" s="14">
        <v>13</v>
      </c>
      <c r="K13" s="10">
        <f t="shared" si="1"/>
        <v>7.4619999999999999E-3</v>
      </c>
      <c r="L13" s="14">
        <v>4.3</v>
      </c>
      <c r="M13" s="14">
        <v>4</v>
      </c>
      <c r="N13" s="11">
        <v>100</v>
      </c>
      <c r="O13" s="11">
        <v>120</v>
      </c>
      <c r="P13" s="11" t="b">
        <v>1</v>
      </c>
      <c r="Q13" s="11" t="b">
        <v>1</v>
      </c>
      <c r="R13" s="11">
        <v>19021990</v>
      </c>
      <c r="S13" s="25"/>
      <c r="T13" s="25"/>
    </row>
    <row r="14" spans="1:20" ht="13.5">
      <c r="A14" s="7" t="s">
        <v>10</v>
      </c>
      <c r="B14" s="7" t="s">
        <v>47</v>
      </c>
      <c r="C14" s="7" t="s">
        <v>50</v>
      </c>
      <c r="D14" s="8">
        <v>6</v>
      </c>
      <c r="E14" s="8">
        <v>11</v>
      </c>
      <c r="F14" s="8">
        <v>36</v>
      </c>
      <c r="G14" s="8">
        <f t="shared" si="0"/>
        <v>396</v>
      </c>
      <c r="H14" s="9">
        <v>19</v>
      </c>
      <c r="I14" s="9">
        <v>13.5</v>
      </c>
      <c r="J14" s="9">
        <v>13.5</v>
      </c>
      <c r="K14" s="10">
        <f t="shared" si="1"/>
        <v>3.4627500000000001E-3</v>
      </c>
      <c r="L14" s="9">
        <v>2.04</v>
      </c>
      <c r="M14" s="9">
        <v>1.1399999999999999</v>
      </c>
      <c r="N14" s="11">
        <v>80</v>
      </c>
      <c r="O14" s="11">
        <v>120</v>
      </c>
      <c r="P14" s="11" t="b">
        <v>0</v>
      </c>
      <c r="Q14" s="11" t="b">
        <v>0</v>
      </c>
      <c r="R14" s="11"/>
      <c r="S14" s="27">
        <v>1</v>
      </c>
      <c r="T14" s="25">
        <v>1.46</v>
      </c>
    </row>
    <row r="15" spans="1:20" ht="13.5">
      <c r="A15" s="7" t="s">
        <v>10</v>
      </c>
      <c r="B15" s="7" t="s">
        <v>48</v>
      </c>
      <c r="C15" s="7" t="s">
        <v>52</v>
      </c>
      <c r="D15" s="8">
        <v>6</v>
      </c>
      <c r="E15" s="8">
        <v>11</v>
      </c>
      <c r="F15" s="8">
        <v>36</v>
      </c>
      <c r="G15" s="8">
        <f t="shared" si="0"/>
        <v>396</v>
      </c>
      <c r="H15" s="9">
        <v>19</v>
      </c>
      <c r="I15" s="9">
        <v>13.5</v>
      </c>
      <c r="J15" s="9">
        <v>13.5</v>
      </c>
      <c r="K15" s="10">
        <f t="shared" si="1"/>
        <v>3.4627500000000001E-3</v>
      </c>
      <c r="L15" s="9">
        <v>2.04</v>
      </c>
      <c r="M15" s="9">
        <v>1.1399999999999999</v>
      </c>
      <c r="N15" s="11">
        <v>80</v>
      </c>
      <c r="O15" s="11">
        <v>120</v>
      </c>
      <c r="P15" s="11" t="b">
        <v>0</v>
      </c>
      <c r="Q15" s="11" t="b">
        <v>0</v>
      </c>
      <c r="R15" s="11"/>
      <c r="S15" s="27">
        <v>1</v>
      </c>
      <c r="T15" s="25">
        <v>1.7</v>
      </c>
    </row>
    <row r="16" spans="1:20" ht="13.5">
      <c r="A16" s="7" t="s">
        <v>10</v>
      </c>
      <c r="B16" s="7" t="s">
        <v>49</v>
      </c>
      <c r="C16" s="7" t="s">
        <v>51</v>
      </c>
      <c r="D16" s="8">
        <v>6</v>
      </c>
      <c r="E16" s="8">
        <v>11</v>
      </c>
      <c r="F16" s="8">
        <v>36</v>
      </c>
      <c r="G16" s="8">
        <f t="shared" si="0"/>
        <v>396</v>
      </c>
      <c r="H16" s="9">
        <v>19</v>
      </c>
      <c r="I16" s="9">
        <v>13.5</v>
      </c>
      <c r="J16" s="9">
        <v>13.5</v>
      </c>
      <c r="K16" s="10">
        <f t="shared" si="1"/>
        <v>3.4627500000000001E-3</v>
      </c>
      <c r="L16" s="9">
        <v>2.04</v>
      </c>
      <c r="M16" s="9">
        <v>1.1399999999999999</v>
      </c>
      <c r="N16" s="11">
        <v>80</v>
      </c>
      <c r="O16" s="11">
        <v>120</v>
      </c>
      <c r="P16" s="11" t="b">
        <v>0</v>
      </c>
      <c r="Q16" s="11" t="b">
        <v>0</v>
      </c>
      <c r="R16" s="11"/>
      <c r="S16" s="27">
        <v>1</v>
      </c>
      <c r="T16" s="25">
        <v>1.65</v>
      </c>
    </row>
    <row r="17" spans="1:20" ht="13.5">
      <c r="A17" s="7" t="s">
        <v>10</v>
      </c>
      <c r="B17" s="7" t="s">
        <v>53</v>
      </c>
      <c r="C17" s="7" t="s">
        <v>54</v>
      </c>
      <c r="D17" s="8">
        <v>6</v>
      </c>
      <c r="E17" s="8">
        <v>11</v>
      </c>
      <c r="F17" s="8">
        <v>36</v>
      </c>
      <c r="G17" s="8">
        <f t="shared" si="0"/>
        <v>396</v>
      </c>
      <c r="H17" s="9">
        <v>19</v>
      </c>
      <c r="I17" s="9">
        <v>13.5</v>
      </c>
      <c r="J17" s="9">
        <v>13.5</v>
      </c>
      <c r="K17" s="10">
        <f t="shared" si="1"/>
        <v>3.4627500000000001E-3</v>
      </c>
      <c r="L17" s="9">
        <v>2.04</v>
      </c>
      <c r="M17" s="9">
        <v>1.1399999999999999</v>
      </c>
      <c r="N17" s="11">
        <v>80</v>
      </c>
      <c r="O17" s="11">
        <v>120</v>
      </c>
      <c r="P17" s="11" t="b">
        <v>0</v>
      </c>
      <c r="Q17" s="11" t="b">
        <v>0</v>
      </c>
      <c r="R17" s="11"/>
      <c r="S17" s="25"/>
      <c r="T17" s="25"/>
    </row>
    <row r="18" spans="1:20" ht="13.5">
      <c r="A18" s="7" t="s">
        <v>10</v>
      </c>
      <c r="B18" s="7" t="s">
        <v>56</v>
      </c>
      <c r="C18" s="7" t="s">
        <v>55</v>
      </c>
      <c r="D18" s="8">
        <v>6</v>
      </c>
      <c r="E18" s="8">
        <v>11</v>
      </c>
      <c r="F18" s="8">
        <v>36</v>
      </c>
      <c r="G18" s="8">
        <f t="shared" ref="G18:G20" si="3">E18*F18</f>
        <v>396</v>
      </c>
      <c r="H18" s="9">
        <v>19</v>
      </c>
      <c r="I18" s="9">
        <v>13.5</v>
      </c>
      <c r="J18" s="9">
        <v>13.5</v>
      </c>
      <c r="K18" s="10">
        <f t="shared" ref="K18:K20" si="4">H18*I18*J18/1000000</f>
        <v>3.4627500000000001E-3</v>
      </c>
      <c r="L18" s="9">
        <v>2.04</v>
      </c>
      <c r="M18" s="9">
        <v>1.1399999999999999</v>
      </c>
      <c r="N18" s="11">
        <v>80</v>
      </c>
      <c r="O18" s="11">
        <v>120</v>
      </c>
      <c r="P18" s="11" t="b">
        <v>0</v>
      </c>
      <c r="Q18" s="11" t="b">
        <v>0</v>
      </c>
      <c r="R18" s="11"/>
      <c r="S18" s="25"/>
      <c r="T18" s="25"/>
    </row>
    <row r="19" spans="1:20" ht="13.5">
      <c r="A19" s="7" t="s">
        <v>10</v>
      </c>
      <c r="B19" s="7" t="s">
        <v>57</v>
      </c>
      <c r="C19" s="7" t="s">
        <v>60</v>
      </c>
      <c r="D19" s="8">
        <v>6</v>
      </c>
      <c r="E19" s="8">
        <v>11</v>
      </c>
      <c r="F19" s="8">
        <v>36</v>
      </c>
      <c r="G19" s="8">
        <f t="shared" si="3"/>
        <v>396</v>
      </c>
      <c r="H19" s="9">
        <v>19</v>
      </c>
      <c r="I19" s="9">
        <v>13.5</v>
      </c>
      <c r="J19" s="9">
        <v>13.5</v>
      </c>
      <c r="K19" s="10">
        <f t="shared" si="4"/>
        <v>3.4627500000000001E-3</v>
      </c>
      <c r="L19" s="9">
        <v>2.04</v>
      </c>
      <c r="M19" s="9">
        <v>1.1399999999999999</v>
      </c>
      <c r="N19" s="11">
        <v>80</v>
      </c>
      <c r="O19" s="11">
        <v>120</v>
      </c>
      <c r="P19" s="11" t="b">
        <v>0</v>
      </c>
      <c r="Q19" s="11" t="b">
        <v>0</v>
      </c>
      <c r="R19" s="11"/>
      <c r="S19" s="25"/>
      <c r="T19" s="25"/>
    </row>
    <row r="20" spans="1:20" ht="13.5">
      <c r="A20" s="7" t="s">
        <v>10</v>
      </c>
      <c r="B20" s="7" t="s">
        <v>58</v>
      </c>
      <c r="C20" s="7" t="s">
        <v>61</v>
      </c>
      <c r="D20" s="8">
        <v>6</v>
      </c>
      <c r="E20" s="8">
        <v>11</v>
      </c>
      <c r="F20" s="8">
        <v>36</v>
      </c>
      <c r="G20" s="8">
        <f t="shared" si="3"/>
        <v>396</v>
      </c>
      <c r="H20" s="9">
        <v>19</v>
      </c>
      <c r="I20" s="9">
        <v>13.5</v>
      </c>
      <c r="J20" s="9">
        <v>13.5</v>
      </c>
      <c r="K20" s="10">
        <f t="shared" si="4"/>
        <v>3.4627500000000001E-3</v>
      </c>
      <c r="L20" s="9">
        <v>2.04</v>
      </c>
      <c r="M20" s="9">
        <v>1.1399999999999999</v>
      </c>
      <c r="N20" s="11">
        <v>80</v>
      </c>
      <c r="O20" s="11">
        <v>120</v>
      </c>
      <c r="P20" s="11" t="b">
        <v>0</v>
      </c>
      <c r="Q20" s="11" t="b">
        <v>0</v>
      </c>
      <c r="R20" s="11"/>
      <c r="S20" s="25"/>
      <c r="T20" s="25"/>
    </row>
    <row r="21" spans="1:20" ht="13.5">
      <c r="A21" s="7" t="s">
        <v>10</v>
      </c>
      <c r="B21" s="7" t="s">
        <v>59</v>
      </c>
      <c r="C21" s="7" t="s">
        <v>62</v>
      </c>
      <c r="D21" s="8">
        <v>6</v>
      </c>
      <c r="E21" s="8">
        <v>11</v>
      </c>
      <c r="F21" s="8">
        <v>36</v>
      </c>
      <c r="G21" s="8">
        <f t="shared" ref="G21" si="5">E21*F21</f>
        <v>396</v>
      </c>
      <c r="H21" s="9">
        <v>19</v>
      </c>
      <c r="I21" s="9">
        <v>13.5</v>
      </c>
      <c r="J21" s="9">
        <v>13.5</v>
      </c>
      <c r="K21" s="10">
        <f t="shared" ref="K21" si="6">H21*I21*J21/1000000</f>
        <v>3.4627500000000001E-3</v>
      </c>
      <c r="L21" s="9">
        <v>2.04</v>
      </c>
      <c r="M21" s="9">
        <v>1.1399999999999999</v>
      </c>
      <c r="N21" s="11">
        <v>80</v>
      </c>
      <c r="O21" s="11">
        <v>120</v>
      </c>
      <c r="P21" s="11" t="b">
        <v>0</v>
      </c>
      <c r="Q21" s="11" t="b">
        <v>0</v>
      </c>
      <c r="R21" s="11"/>
      <c r="S21" s="25"/>
      <c r="T21" s="25"/>
    </row>
    <row r="22" spans="1:20" ht="13.5">
      <c r="A22" s="7" t="s">
        <v>10</v>
      </c>
      <c r="B22" s="7" t="s">
        <v>63</v>
      </c>
      <c r="C22" s="7" t="s">
        <v>64</v>
      </c>
      <c r="D22" s="8">
        <v>6</v>
      </c>
      <c r="E22" s="8">
        <v>11</v>
      </c>
      <c r="F22" s="8">
        <v>36</v>
      </c>
      <c r="G22" s="8">
        <f t="shared" ref="G22" si="7">E22*F22</f>
        <v>396</v>
      </c>
      <c r="H22" s="9">
        <v>19</v>
      </c>
      <c r="I22" s="9">
        <v>13.5</v>
      </c>
      <c r="J22" s="9">
        <v>13.5</v>
      </c>
      <c r="K22" s="10">
        <f t="shared" ref="K22" si="8">H22*I22*J22/1000000</f>
        <v>3.4627500000000001E-3</v>
      </c>
      <c r="L22" s="9">
        <v>2.04</v>
      </c>
      <c r="M22" s="9">
        <v>1.1399999999999999</v>
      </c>
      <c r="N22" s="11">
        <v>80</v>
      </c>
      <c r="O22" s="11">
        <v>120</v>
      </c>
      <c r="P22" s="11" t="b">
        <v>0</v>
      </c>
      <c r="Q22" s="11" t="b">
        <v>0</v>
      </c>
      <c r="R22" s="11"/>
      <c r="S22" s="25"/>
      <c r="T22" s="25"/>
    </row>
    <row r="23" spans="1:20" ht="13.5">
      <c r="A23" s="7" t="s">
        <v>92</v>
      </c>
      <c r="B23" s="7" t="s">
        <v>65</v>
      </c>
      <c r="C23" s="7" t="s">
        <v>79</v>
      </c>
      <c r="D23" s="8">
        <v>20</v>
      </c>
      <c r="E23" s="8">
        <v>9</v>
      </c>
      <c r="F23" s="8">
        <v>17</v>
      </c>
      <c r="G23" s="8">
        <f t="shared" si="0"/>
        <v>153</v>
      </c>
      <c r="H23" s="9">
        <v>16</v>
      </c>
      <c r="I23" s="9">
        <v>40</v>
      </c>
      <c r="J23" s="9">
        <v>19</v>
      </c>
      <c r="K23" s="10">
        <f t="shared" si="1"/>
        <v>1.2160000000000001E-2</v>
      </c>
      <c r="L23" s="9">
        <v>1.7</v>
      </c>
      <c r="M23" s="9">
        <v>1</v>
      </c>
      <c r="N23" s="11">
        <v>80</v>
      </c>
      <c r="O23" s="11">
        <v>120</v>
      </c>
      <c r="P23" s="11" t="b">
        <v>0</v>
      </c>
      <c r="Q23" s="11" t="b">
        <v>0</v>
      </c>
      <c r="R23" s="11"/>
      <c r="S23" s="25"/>
      <c r="T23" s="25"/>
    </row>
    <row r="24" spans="1:20" ht="13.5">
      <c r="A24" s="7" t="s">
        <v>92</v>
      </c>
      <c r="B24" s="12" t="s">
        <v>66</v>
      </c>
      <c r="C24" s="12" t="s">
        <v>80</v>
      </c>
      <c r="D24" s="8">
        <v>20</v>
      </c>
      <c r="E24" s="8">
        <v>9</v>
      </c>
      <c r="F24" s="8">
        <v>17</v>
      </c>
      <c r="G24" s="8">
        <f t="shared" si="0"/>
        <v>153</v>
      </c>
      <c r="H24" s="9">
        <v>16</v>
      </c>
      <c r="I24" s="9">
        <v>40</v>
      </c>
      <c r="J24" s="9">
        <v>19</v>
      </c>
      <c r="K24" s="10">
        <f t="shared" si="1"/>
        <v>1.2160000000000001E-2</v>
      </c>
      <c r="L24" s="9">
        <v>1.7</v>
      </c>
      <c r="M24" s="9">
        <v>1</v>
      </c>
      <c r="N24" s="11">
        <v>80</v>
      </c>
      <c r="O24" s="11">
        <v>120</v>
      </c>
      <c r="P24" s="11" t="b">
        <v>0</v>
      </c>
      <c r="Q24" s="11" t="b">
        <v>0</v>
      </c>
      <c r="R24" s="11"/>
      <c r="S24" s="25"/>
      <c r="T24" s="25"/>
    </row>
    <row r="25" spans="1:20" ht="13.5">
      <c r="A25" s="7" t="s">
        <v>92</v>
      </c>
      <c r="B25" s="7" t="s">
        <v>67</v>
      </c>
      <c r="C25" s="7" t="s">
        <v>81</v>
      </c>
      <c r="D25" s="8">
        <v>20</v>
      </c>
      <c r="E25" s="8">
        <v>9</v>
      </c>
      <c r="F25" s="8">
        <v>17</v>
      </c>
      <c r="G25" s="8">
        <f t="shared" si="0"/>
        <v>153</v>
      </c>
      <c r="H25" s="9">
        <v>16</v>
      </c>
      <c r="I25" s="9">
        <v>40</v>
      </c>
      <c r="J25" s="9">
        <v>19</v>
      </c>
      <c r="K25" s="10">
        <f t="shared" si="1"/>
        <v>1.2160000000000001E-2</v>
      </c>
      <c r="L25" s="9">
        <v>1.7</v>
      </c>
      <c r="M25" s="9">
        <v>1</v>
      </c>
      <c r="N25" s="11">
        <v>80</v>
      </c>
      <c r="O25" s="11">
        <v>120</v>
      </c>
      <c r="P25" s="11" t="b">
        <v>0</v>
      </c>
      <c r="Q25" s="11" t="b">
        <v>0</v>
      </c>
      <c r="R25" s="11"/>
      <c r="S25" s="25"/>
      <c r="T25" s="25"/>
    </row>
    <row r="26" spans="1:20" ht="13.5">
      <c r="A26" s="7" t="s">
        <v>92</v>
      </c>
      <c r="B26" s="7" t="s">
        <v>68</v>
      </c>
      <c r="C26" s="7" t="s">
        <v>82</v>
      </c>
      <c r="D26" s="8">
        <v>20</v>
      </c>
      <c r="E26" s="8">
        <v>9</v>
      </c>
      <c r="F26" s="8">
        <v>17</v>
      </c>
      <c r="G26" s="8">
        <f t="shared" si="0"/>
        <v>153</v>
      </c>
      <c r="H26" s="9">
        <v>16</v>
      </c>
      <c r="I26" s="9">
        <v>40</v>
      </c>
      <c r="J26" s="9">
        <v>19</v>
      </c>
      <c r="K26" s="10">
        <f t="shared" si="1"/>
        <v>1.2160000000000001E-2</v>
      </c>
      <c r="L26" s="9">
        <v>1.7</v>
      </c>
      <c r="M26" s="9">
        <v>1</v>
      </c>
      <c r="N26" s="11">
        <v>80</v>
      </c>
      <c r="O26" s="11">
        <v>120</v>
      </c>
      <c r="P26" s="11" t="b">
        <v>0</v>
      </c>
      <c r="Q26" s="11" t="b">
        <v>0</v>
      </c>
      <c r="R26" s="11"/>
      <c r="S26" s="25"/>
      <c r="T26" s="25"/>
    </row>
    <row r="27" spans="1:20" ht="13.5">
      <c r="A27" s="7" t="s">
        <v>92</v>
      </c>
      <c r="B27" s="7" t="s">
        <v>69</v>
      </c>
      <c r="C27" s="7" t="s">
        <v>83</v>
      </c>
      <c r="D27" s="8">
        <v>6</v>
      </c>
      <c r="E27" s="8">
        <v>8</v>
      </c>
      <c r="F27" s="8">
        <v>12</v>
      </c>
      <c r="G27" s="8">
        <f t="shared" si="0"/>
        <v>96</v>
      </c>
      <c r="H27" s="9">
        <v>20</v>
      </c>
      <c r="I27" s="9">
        <v>26</v>
      </c>
      <c r="J27" s="9">
        <v>40</v>
      </c>
      <c r="K27" s="10">
        <f t="shared" si="1"/>
        <v>2.0799999999999999E-2</v>
      </c>
      <c r="L27" s="9">
        <v>6.5</v>
      </c>
      <c r="M27" s="9">
        <v>6</v>
      </c>
      <c r="N27" s="11">
        <v>80</v>
      </c>
      <c r="O27" s="11">
        <v>120</v>
      </c>
      <c r="P27" s="11" t="b">
        <v>0</v>
      </c>
      <c r="Q27" s="11" t="b">
        <v>0</v>
      </c>
      <c r="R27" s="11"/>
      <c r="S27" s="25"/>
      <c r="T27" s="25"/>
    </row>
    <row r="28" spans="1:20" ht="13.5">
      <c r="A28" s="7" t="s">
        <v>92</v>
      </c>
      <c r="B28" s="7" t="s">
        <v>70</v>
      </c>
      <c r="C28" s="7" t="s">
        <v>84</v>
      </c>
      <c r="D28" s="8">
        <v>6</v>
      </c>
      <c r="E28" s="8">
        <v>8</v>
      </c>
      <c r="F28" s="8">
        <v>12</v>
      </c>
      <c r="G28" s="8">
        <f t="shared" si="0"/>
        <v>96</v>
      </c>
      <c r="H28" s="9">
        <v>20</v>
      </c>
      <c r="I28" s="9">
        <v>26</v>
      </c>
      <c r="J28" s="9">
        <v>40</v>
      </c>
      <c r="K28" s="10">
        <f t="shared" si="1"/>
        <v>2.0799999999999999E-2</v>
      </c>
      <c r="L28" s="9">
        <v>6.5</v>
      </c>
      <c r="M28" s="9">
        <v>6</v>
      </c>
      <c r="N28" s="11">
        <v>80</v>
      </c>
      <c r="O28" s="11">
        <v>120</v>
      </c>
      <c r="P28" s="11" t="b">
        <v>0</v>
      </c>
      <c r="Q28" s="11" t="b">
        <v>0</v>
      </c>
      <c r="R28" s="11"/>
      <c r="S28" s="25"/>
      <c r="T28" s="25"/>
    </row>
    <row r="29" spans="1:20" ht="13.5">
      <c r="A29" s="7" t="s">
        <v>92</v>
      </c>
      <c r="B29" s="7" t="s">
        <v>71</v>
      </c>
      <c r="C29" s="7" t="s">
        <v>93</v>
      </c>
      <c r="D29" s="8">
        <v>12</v>
      </c>
      <c r="E29" s="8">
        <v>8</v>
      </c>
      <c r="F29" s="8">
        <v>12</v>
      </c>
      <c r="G29" s="8">
        <f t="shared" si="0"/>
        <v>96</v>
      </c>
      <c r="H29" s="9">
        <v>20</v>
      </c>
      <c r="I29" s="9">
        <v>26</v>
      </c>
      <c r="J29" s="9">
        <v>40</v>
      </c>
      <c r="K29" s="10">
        <f t="shared" si="1"/>
        <v>2.0799999999999999E-2</v>
      </c>
      <c r="L29" s="9">
        <v>6.5</v>
      </c>
      <c r="M29" s="9">
        <v>6</v>
      </c>
      <c r="N29" s="11">
        <v>80</v>
      </c>
      <c r="O29" s="11">
        <v>120</v>
      </c>
      <c r="P29" s="11" t="b">
        <v>0</v>
      </c>
      <c r="Q29" s="11" t="b">
        <v>0</v>
      </c>
      <c r="R29" s="11"/>
      <c r="S29" s="25"/>
      <c r="T29" s="25"/>
    </row>
    <row r="30" spans="1:20" ht="13.5">
      <c r="A30" s="7" t="s">
        <v>92</v>
      </c>
      <c r="B30" s="7" t="s">
        <v>72</v>
      </c>
      <c r="C30" s="7" t="s">
        <v>85</v>
      </c>
      <c r="D30" s="8">
        <v>12</v>
      </c>
      <c r="E30" s="8">
        <v>8</v>
      </c>
      <c r="F30" s="8">
        <v>12</v>
      </c>
      <c r="G30" s="8">
        <f t="shared" si="0"/>
        <v>96</v>
      </c>
      <c r="H30" s="9">
        <v>20</v>
      </c>
      <c r="I30" s="9">
        <v>26</v>
      </c>
      <c r="J30" s="9">
        <v>40</v>
      </c>
      <c r="K30" s="10">
        <f t="shared" si="1"/>
        <v>2.0799999999999999E-2</v>
      </c>
      <c r="L30" s="9">
        <v>6.5</v>
      </c>
      <c r="M30" s="9">
        <v>6</v>
      </c>
      <c r="N30" s="11">
        <v>80</v>
      </c>
      <c r="O30" s="11">
        <v>120</v>
      </c>
      <c r="P30" s="11" t="b">
        <v>0</v>
      </c>
      <c r="Q30" s="11" t="b">
        <v>0</v>
      </c>
      <c r="R30" s="11"/>
      <c r="S30" s="25"/>
      <c r="T30" s="25"/>
    </row>
    <row r="31" spans="1:20" ht="13.5">
      <c r="A31" s="7" t="s">
        <v>92</v>
      </c>
      <c r="B31" s="7" t="s">
        <v>73</v>
      </c>
      <c r="C31" s="7" t="s">
        <v>86</v>
      </c>
      <c r="D31" s="8">
        <v>12</v>
      </c>
      <c r="E31" s="8">
        <v>8</v>
      </c>
      <c r="F31" s="8">
        <v>12</v>
      </c>
      <c r="G31" s="8">
        <f t="shared" si="0"/>
        <v>96</v>
      </c>
      <c r="H31" s="9">
        <v>20</v>
      </c>
      <c r="I31" s="9">
        <v>26</v>
      </c>
      <c r="J31" s="9">
        <v>40</v>
      </c>
      <c r="K31" s="10">
        <f t="shared" si="1"/>
        <v>2.0799999999999999E-2</v>
      </c>
      <c r="L31" s="9">
        <v>6.5</v>
      </c>
      <c r="M31" s="9">
        <v>6</v>
      </c>
      <c r="N31" s="11">
        <v>80</v>
      </c>
      <c r="O31" s="11">
        <v>120</v>
      </c>
      <c r="P31" s="11" t="b">
        <v>0</v>
      </c>
      <c r="Q31" s="11" t="b">
        <v>0</v>
      </c>
      <c r="R31" s="11"/>
      <c r="S31" s="25"/>
      <c r="T31" s="25"/>
    </row>
    <row r="32" spans="1:20" ht="13.5">
      <c r="A32" s="7" t="s">
        <v>92</v>
      </c>
      <c r="B32" s="7" t="s">
        <v>74</v>
      </c>
      <c r="C32" s="7" t="s">
        <v>87</v>
      </c>
      <c r="D32" s="8">
        <v>12</v>
      </c>
      <c r="E32" s="8">
        <v>8</v>
      </c>
      <c r="F32" s="8">
        <v>12</v>
      </c>
      <c r="G32" s="8">
        <f t="shared" si="0"/>
        <v>96</v>
      </c>
      <c r="H32" s="9">
        <v>20</v>
      </c>
      <c r="I32" s="9">
        <v>26</v>
      </c>
      <c r="J32" s="9">
        <v>40</v>
      </c>
      <c r="K32" s="10">
        <f t="shared" si="1"/>
        <v>2.0799999999999999E-2</v>
      </c>
      <c r="L32" s="9">
        <v>6.5</v>
      </c>
      <c r="M32" s="9">
        <v>6</v>
      </c>
      <c r="N32" s="11">
        <v>80</v>
      </c>
      <c r="O32" s="11">
        <v>120</v>
      </c>
      <c r="P32" s="11" t="b">
        <v>0</v>
      </c>
      <c r="Q32" s="11" t="b">
        <v>0</v>
      </c>
      <c r="R32" s="11"/>
      <c r="S32" s="25"/>
      <c r="T32" s="25"/>
    </row>
    <row r="33" spans="1:62" ht="13.5">
      <c r="A33" s="7" t="s">
        <v>92</v>
      </c>
      <c r="B33" s="12" t="s">
        <v>75</v>
      </c>
      <c r="C33" s="12" t="s">
        <v>88</v>
      </c>
      <c r="D33" s="8">
        <v>12</v>
      </c>
      <c r="E33" s="8">
        <v>8</v>
      </c>
      <c r="F33" s="8">
        <v>12</v>
      </c>
      <c r="G33" s="8">
        <f t="shared" si="0"/>
        <v>96</v>
      </c>
      <c r="H33" s="9">
        <v>20</v>
      </c>
      <c r="I33" s="9">
        <v>26</v>
      </c>
      <c r="J33" s="9">
        <v>40</v>
      </c>
      <c r="K33" s="10">
        <f t="shared" si="1"/>
        <v>2.0799999999999999E-2</v>
      </c>
      <c r="L33" s="9">
        <v>6.5</v>
      </c>
      <c r="M33" s="9">
        <v>6</v>
      </c>
      <c r="N33" s="11">
        <v>80</v>
      </c>
      <c r="O33" s="11">
        <v>120</v>
      </c>
      <c r="P33" s="11" t="b">
        <v>0</v>
      </c>
      <c r="Q33" s="11" t="b">
        <v>0</v>
      </c>
      <c r="R33" s="11"/>
      <c r="S33" s="25"/>
      <c r="T33" s="25"/>
    </row>
    <row r="34" spans="1:62" ht="13.5">
      <c r="A34" s="7" t="s">
        <v>92</v>
      </c>
      <c r="B34" s="7" t="s">
        <v>76</v>
      </c>
      <c r="C34" s="7" t="s">
        <v>89</v>
      </c>
      <c r="D34" s="8">
        <v>12</v>
      </c>
      <c r="E34" s="8">
        <v>8</v>
      </c>
      <c r="F34" s="8">
        <v>12</v>
      </c>
      <c r="G34" s="8">
        <f t="shared" si="0"/>
        <v>96</v>
      </c>
      <c r="H34" s="9">
        <v>20</v>
      </c>
      <c r="I34" s="9">
        <v>26</v>
      </c>
      <c r="J34" s="9">
        <v>40</v>
      </c>
      <c r="K34" s="10">
        <f t="shared" si="1"/>
        <v>2.0799999999999999E-2</v>
      </c>
      <c r="L34" s="9">
        <v>6.5</v>
      </c>
      <c r="M34" s="9">
        <v>6</v>
      </c>
      <c r="N34" s="11">
        <v>80</v>
      </c>
      <c r="O34" s="11">
        <v>120</v>
      </c>
      <c r="P34" s="11" t="b">
        <v>0</v>
      </c>
      <c r="Q34" s="11" t="b">
        <v>0</v>
      </c>
      <c r="R34" s="11"/>
      <c r="S34" s="25"/>
      <c r="T34" s="25"/>
    </row>
    <row r="35" spans="1:62" ht="13.5">
      <c r="A35" s="7" t="s">
        <v>92</v>
      </c>
      <c r="B35" s="7" t="s">
        <v>77</v>
      </c>
      <c r="C35" s="7" t="s">
        <v>90</v>
      </c>
      <c r="D35" s="8">
        <v>12</v>
      </c>
      <c r="E35" s="8">
        <v>8</v>
      </c>
      <c r="F35" s="8">
        <v>12</v>
      </c>
      <c r="G35" s="8">
        <f t="shared" si="0"/>
        <v>96</v>
      </c>
      <c r="H35" s="9">
        <v>20</v>
      </c>
      <c r="I35" s="9">
        <v>26</v>
      </c>
      <c r="J35" s="9">
        <v>40</v>
      </c>
      <c r="K35" s="10">
        <f t="shared" si="1"/>
        <v>2.0799999999999999E-2</v>
      </c>
      <c r="L35" s="9">
        <v>6.5</v>
      </c>
      <c r="M35" s="9">
        <v>6</v>
      </c>
      <c r="N35" s="11">
        <v>80</v>
      </c>
      <c r="O35" s="11">
        <v>120</v>
      </c>
      <c r="P35" s="11" t="b">
        <v>0</v>
      </c>
      <c r="Q35" s="11" t="b">
        <v>0</v>
      </c>
      <c r="R35" s="11"/>
      <c r="S35" s="25"/>
      <c r="T35" s="25"/>
    </row>
    <row r="36" spans="1:62" ht="13.5">
      <c r="A36" s="7" t="s">
        <v>92</v>
      </c>
      <c r="B36" s="7" t="s">
        <v>78</v>
      </c>
      <c r="C36" s="7" t="s">
        <v>91</v>
      </c>
      <c r="D36" s="8">
        <v>12</v>
      </c>
      <c r="E36" s="8">
        <v>8</v>
      </c>
      <c r="F36" s="8">
        <v>12</v>
      </c>
      <c r="G36" s="8">
        <f t="shared" si="0"/>
        <v>96</v>
      </c>
      <c r="H36" s="9">
        <v>20</v>
      </c>
      <c r="I36" s="9">
        <v>26</v>
      </c>
      <c r="J36" s="9">
        <v>40</v>
      </c>
      <c r="K36" s="10">
        <f t="shared" si="1"/>
        <v>2.0799999999999999E-2</v>
      </c>
      <c r="L36" s="9">
        <v>6.5</v>
      </c>
      <c r="M36" s="9">
        <v>6</v>
      </c>
      <c r="N36" s="11">
        <v>80</v>
      </c>
      <c r="O36" s="11">
        <v>120</v>
      </c>
      <c r="P36" s="11" t="b">
        <v>0</v>
      </c>
      <c r="Q36" s="11" t="b">
        <v>0</v>
      </c>
      <c r="R36" s="11"/>
      <c r="S36" s="25"/>
      <c r="T36" s="25"/>
    </row>
    <row r="37" spans="1:62" ht="13.5">
      <c r="A37" s="7" t="s">
        <v>94</v>
      </c>
      <c r="B37" s="7" t="s">
        <v>95</v>
      </c>
      <c r="C37" s="7" t="s">
        <v>118</v>
      </c>
      <c r="D37" s="8">
        <v>24</v>
      </c>
      <c r="E37" s="8">
        <v>7</v>
      </c>
      <c r="F37" s="8">
        <v>12</v>
      </c>
      <c r="G37" s="8">
        <f t="shared" si="0"/>
        <v>84</v>
      </c>
      <c r="H37" s="9">
        <v>26</v>
      </c>
      <c r="I37" s="9">
        <v>3005</v>
      </c>
      <c r="J37" s="9">
        <v>22.5</v>
      </c>
      <c r="K37" s="10">
        <f t="shared" si="1"/>
        <v>1.757925</v>
      </c>
      <c r="L37" s="9">
        <v>4.8</v>
      </c>
      <c r="M37" s="9">
        <v>5.45</v>
      </c>
      <c r="N37" s="11">
        <v>80</v>
      </c>
      <c r="O37" s="8">
        <v>120</v>
      </c>
      <c r="P37" s="11" t="b">
        <v>0</v>
      </c>
      <c r="Q37" s="11" t="b">
        <v>0</v>
      </c>
      <c r="R37" s="11"/>
      <c r="S37" s="25"/>
      <c r="T37" s="25"/>
    </row>
    <row r="38" spans="1:62" ht="13.5">
      <c r="A38" s="7" t="s">
        <v>94</v>
      </c>
      <c r="B38" s="7" t="s">
        <v>96</v>
      </c>
      <c r="C38" s="7" t="s">
        <v>119</v>
      </c>
      <c r="D38" s="8">
        <v>24</v>
      </c>
      <c r="E38" s="8">
        <v>7</v>
      </c>
      <c r="F38" s="8">
        <v>12</v>
      </c>
      <c r="G38" s="8">
        <f t="shared" si="0"/>
        <v>84</v>
      </c>
      <c r="H38" s="9">
        <v>26</v>
      </c>
      <c r="I38" s="9">
        <v>3005</v>
      </c>
      <c r="J38" s="9">
        <v>22.5</v>
      </c>
      <c r="K38" s="10">
        <f t="shared" si="1"/>
        <v>1.757925</v>
      </c>
      <c r="L38" s="9">
        <v>4.8</v>
      </c>
      <c r="M38" s="9">
        <v>5.45</v>
      </c>
      <c r="N38" s="11">
        <v>80</v>
      </c>
      <c r="O38" s="8">
        <v>120</v>
      </c>
      <c r="P38" s="11" t="b">
        <v>0</v>
      </c>
      <c r="Q38" s="11" t="b">
        <v>0</v>
      </c>
      <c r="R38" s="11"/>
      <c r="S38" s="25"/>
      <c r="T38" s="25"/>
    </row>
    <row r="39" spans="1:62" ht="13.5">
      <c r="A39" s="7" t="s">
        <v>94</v>
      </c>
      <c r="B39" s="7" t="s">
        <v>97</v>
      </c>
      <c r="C39" s="7" t="s">
        <v>120</v>
      </c>
      <c r="D39" s="8">
        <v>24</v>
      </c>
      <c r="E39" s="8">
        <v>7</v>
      </c>
      <c r="F39" s="8">
        <v>12</v>
      </c>
      <c r="G39" s="8">
        <f t="shared" si="0"/>
        <v>84</v>
      </c>
      <c r="H39" s="9">
        <v>26</v>
      </c>
      <c r="I39" s="9">
        <v>3005</v>
      </c>
      <c r="J39" s="9">
        <v>22.5</v>
      </c>
      <c r="K39" s="10">
        <f t="shared" si="1"/>
        <v>1.757925</v>
      </c>
      <c r="L39" s="9">
        <v>4.8</v>
      </c>
      <c r="M39" s="9">
        <v>5.45</v>
      </c>
      <c r="N39" s="11">
        <v>80</v>
      </c>
      <c r="O39" s="8">
        <v>120</v>
      </c>
      <c r="P39" s="11" t="b">
        <v>0</v>
      </c>
      <c r="Q39" s="11" t="b">
        <v>0</v>
      </c>
      <c r="R39" s="11"/>
      <c r="S39" s="25"/>
      <c r="T39" s="25"/>
    </row>
    <row r="40" spans="1:62" ht="13.5">
      <c r="A40" s="7" t="s">
        <v>94</v>
      </c>
      <c r="B40" s="7" t="s">
        <v>98</v>
      </c>
      <c r="C40" s="7" t="s">
        <v>121</v>
      </c>
      <c r="D40" s="8">
        <v>24</v>
      </c>
      <c r="E40" s="8">
        <v>7</v>
      </c>
      <c r="F40" s="8">
        <v>12</v>
      </c>
      <c r="G40" s="8">
        <f t="shared" si="0"/>
        <v>84</v>
      </c>
      <c r="H40" s="9">
        <v>26</v>
      </c>
      <c r="I40" s="9">
        <v>3005</v>
      </c>
      <c r="J40" s="9">
        <v>22.5</v>
      </c>
      <c r="K40" s="10">
        <f t="shared" si="1"/>
        <v>1.757925</v>
      </c>
      <c r="L40" s="9">
        <v>4.8</v>
      </c>
      <c r="M40" s="9">
        <v>5.45</v>
      </c>
      <c r="N40" s="11">
        <v>80</v>
      </c>
      <c r="O40" s="8">
        <v>120</v>
      </c>
      <c r="P40" s="11" t="b">
        <v>0</v>
      </c>
      <c r="Q40" s="11" t="b">
        <v>0</v>
      </c>
      <c r="R40" s="11"/>
      <c r="S40" s="25"/>
      <c r="T40" s="25"/>
    </row>
    <row r="41" spans="1:62" ht="13.5">
      <c r="A41" s="7" t="s">
        <v>94</v>
      </c>
      <c r="B41" s="12" t="s">
        <v>99</v>
      </c>
      <c r="C41" s="7" t="s">
        <v>122</v>
      </c>
      <c r="D41" s="8">
        <v>24</v>
      </c>
      <c r="E41" s="8">
        <v>7</v>
      </c>
      <c r="F41" s="8">
        <v>12</v>
      </c>
      <c r="G41" s="8">
        <f t="shared" si="0"/>
        <v>84</v>
      </c>
      <c r="H41" s="9">
        <v>26</v>
      </c>
      <c r="I41" s="9">
        <v>3005</v>
      </c>
      <c r="J41" s="9">
        <v>22.5</v>
      </c>
      <c r="K41" s="10">
        <f t="shared" si="1"/>
        <v>1.757925</v>
      </c>
      <c r="L41" s="9">
        <v>4.8</v>
      </c>
      <c r="M41" s="9">
        <v>5.45</v>
      </c>
      <c r="N41" s="11">
        <v>80</v>
      </c>
      <c r="O41" s="8">
        <v>120</v>
      </c>
      <c r="P41" s="11" t="b">
        <v>0</v>
      </c>
      <c r="Q41" s="11" t="b">
        <v>0</v>
      </c>
      <c r="R41" s="11"/>
      <c r="S41" s="25"/>
      <c r="T41" s="25"/>
    </row>
    <row r="42" spans="1:62" s="3" customFormat="1" ht="13.5">
      <c r="A42" s="7" t="s">
        <v>94</v>
      </c>
      <c r="B42" s="7" t="s">
        <v>100</v>
      </c>
      <c r="C42" s="7" t="s">
        <v>123</v>
      </c>
      <c r="D42" s="8">
        <v>24</v>
      </c>
      <c r="E42" s="8">
        <v>7</v>
      </c>
      <c r="F42" s="8">
        <v>12</v>
      </c>
      <c r="G42" s="8">
        <f t="shared" si="0"/>
        <v>84</v>
      </c>
      <c r="H42" s="9">
        <v>26</v>
      </c>
      <c r="I42" s="9">
        <v>3005</v>
      </c>
      <c r="J42" s="9">
        <v>22.5</v>
      </c>
      <c r="K42" s="10">
        <f t="shared" si="1"/>
        <v>1.757925</v>
      </c>
      <c r="L42" s="9">
        <v>4.8</v>
      </c>
      <c r="M42" s="9">
        <v>5.45</v>
      </c>
      <c r="N42" s="11">
        <v>80</v>
      </c>
      <c r="O42" s="8">
        <v>120</v>
      </c>
      <c r="P42" s="11" t="b">
        <v>0</v>
      </c>
      <c r="Q42" s="11" t="b">
        <v>0</v>
      </c>
      <c r="R42" s="11"/>
      <c r="S42" s="25"/>
      <c r="T42" s="25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</row>
    <row r="43" spans="1:62" s="3" customFormat="1" ht="13.5">
      <c r="A43" s="7" t="s">
        <v>94</v>
      </c>
      <c r="B43" s="7" t="s">
        <v>101</v>
      </c>
      <c r="C43" s="12" t="s">
        <v>124</v>
      </c>
      <c r="D43" s="8">
        <v>24</v>
      </c>
      <c r="E43" s="8">
        <v>7</v>
      </c>
      <c r="F43" s="8">
        <v>12</v>
      </c>
      <c r="G43" s="8">
        <f t="shared" si="0"/>
        <v>84</v>
      </c>
      <c r="H43" s="9">
        <v>26</v>
      </c>
      <c r="I43" s="9">
        <v>3005</v>
      </c>
      <c r="J43" s="9">
        <v>22.5</v>
      </c>
      <c r="K43" s="10">
        <f t="shared" si="1"/>
        <v>1.757925</v>
      </c>
      <c r="L43" s="9">
        <v>4.8</v>
      </c>
      <c r="M43" s="9">
        <v>5.45</v>
      </c>
      <c r="N43" s="11">
        <v>80</v>
      </c>
      <c r="O43" s="8">
        <v>120</v>
      </c>
      <c r="P43" s="11" t="b">
        <v>0</v>
      </c>
      <c r="Q43" s="11" t="b">
        <v>0</v>
      </c>
      <c r="R43" s="11"/>
      <c r="S43" s="25"/>
      <c r="T43" s="25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</row>
    <row r="44" spans="1:62" s="3" customFormat="1" ht="13.5">
      <c r="A44" s="7" t="s">
        <v>94</v>
      </c>
      <c r="B44" s="7" t="s">
        <v>102</v>
      </c>
      <c r="C44" s="7" t="s">
        <v>125</v>
      </c>
      <c r="D44" s="8">
        <v>24</v>
      </c>
      <c r="E44" s="8">
        <v>7</v>
      </c>
      <c r="F44" s="8">
        <v>12</v>
      </c>
      <c r="G44" s="8">
        <f t="shared" si="0"/>
        <v>84</v>
      </c>
      <c r="H44" s="9">
        <v>26</v>
      </c>
      <c r="I44" s="9">
        <v>3005</v>
      </c>
      <c r="J44" s="9">
        <v>22.5</v>
      </c>
      <c r="K44" s="10">
        <f t="shared" si="1"/>
        <v>1.757925</v>
      </c>
      <c r="L44" s="9">
        <v>4.8</v>
      </c>
      <c r="M44" s="9">
        <v>5.45</v>
      </c>
      <c r="N44" s="11">
        <v>80</v>
      </c>
      <c r="O44" s="8">
        <v>120</v>
      </c>
      <c r="P44" s="11" t="b">
        <v>0</v>
      </c>
      <c r="Q44" s="11" t="b">
        <v>0</v>
      </c>
      <c r="R44" s="11"/>
      <c r="S44" s="25"/>
      <c r="T44" s="25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</row>
    <row r="45" spans="1:62" s="3" customFormat="1" ht="13.5">
      <c r="A45" s="7" t="s">
        <v>94</v>
      </c>
      <c r="B45" s="7" t="s">
        <v>103</v>
      </c>
      <c r="C45" s="7" t="s">
        <v>126</v>
      </c>
      <c r="D45" s="8">
        <v>24</v>
      </c>
      <c r="E45" s="8">
        <v>7</v>
      </c>
      <c r="F45" s="8">
        <v>12</v>
      </c>
      <c r="G45" s="8">
        <f t="shared" si="0"/>
        <v>84</v>
      </c>
      <c r="H45" s="9">
        <v>26</v>
      </c>
      <c r="I45" s="9">
        <v>3005</v>
      </c>
      <c r="J45" s="9">
        <v>22.5</v>
      </c>
      <c r="K45" s="10">
        <f t="shared" si="1"/>
        <v>1.757925</v>
      </c>
      <c r="L45" s="9">
        <v>4.8</v>
      </c>
      <c r="M45" s="9">
        <v>5.45</v>
      </c>
      <c r="N45" s="11">
        <v>80</v>
      </c>
      <c r="O45" s="8">
        <v>120</v>
      </c>
      <c r="P45" s="11" t="b">
        <v>0</v>
      </c>
      <c r="Q45" s="11" t="b">
        <v>0</v>
      </c>
      <c r="R45" s="11"/>
      <c r="S45" s="25"/>
      <c r="T45" s="25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</row>
    <row r="46" spans="1:62" ht="13.5">
      <c r="A46" s="7" t="s">
        <v>94</v>
      </c>
      <c r="B46" s="7" t="s">
        <v>104</v>
      </c>
      <c r="C46" s="7" t="s">
        <v>127</v>
      </c>
      <c r="D46" s="8">
        <v>24</v>
      </c>
      <c r="E46" s="8">
        <v>7</v>
      </c>
      <c r="F46" s="8">
        <v>12</v>
      </c>
      <c r="G46" s="8">
        <f t="shared" si="0"/>
        <v>84</v>
      </c>
      <c r="H46" s="9">
        <v>26</v>
      </c>
      <c r="I46" s="9">
        <v>3005</v>
      </c>
      <c r="J46" s="9">
        <v>22.5</v>
      </c>
      <c r="K46" s="10">
        <f t="shared" si="1"/>
        <v>1.757925</v>
      </c>
      <c r="L46" s="9">
        <v>4.8</v>
      </c>
      <c r="M46" s="9">
        <v>5.45</v>
      </c>
      <c r="N46" s="11">
        <v>80</v>
      </c>
      <c r="O46" s="8">
        <v>120</v>
      </c>
      <c r="P46" s="11" t="b">
        <v>0</v>
      </c>
      <c r="Q46" s="11" t="b">
        <v>0</v>
      </c>
      <c r="R46" s="11"/>
      <c r="S46" s="25"/>
      <c r="T46" s="25"/>
    </row>
    <row r="47" spans="1:62" ht="13.5">
      <c r="A47" s="7" t="s">
        <v>94</v>
      </c>
      <c r="B47" s="7" t="s">
        <v>105</v>
      </c>
      <c r="C47" s="7" t="s">
        <v>128</v>
      </c>
      <c r="D47" s="8">
        <v>24</v>
      </c>
      <c r="E47" s="8">
        <v>7</v>
      </c>
      <c r="F47" s="8">
        <v>12</v>
      </c>
      <c r="G47" s="8">
        <f t="shared" si="0"/>
        <v>84</v>
      </c>
      <c r="H47" s="9">
        <v>26</v>
      </c>
      <c r="I47" s="9">
        <v>3005</v>
      </c>
      <c r="J47" s="9">
        <v>22.5</v>
      </c>
      <c r="K47" s="10">
        <f t="shared" si="1"/>
        <v>1.757925</v>
      </c>
      <c r="L47" s="9">
        <v>4.8</v>
      </c>
      <c r="M47" s="9">
        <v>5.45</v>
      </c>
      <c r="N47" s="11">
        <v>80</v>
      </c>
      <c r="O47" s="8">
        <v>120</v>
      </c>
      <c r="P47" s="11" t="b">
        <v>0</v>
      </c>
      <c r="Q47" s="11" t="b">
        <v>0</v>
      </c>
      <c r="R47" s="11"/>
      <c r="S47" s="25"/>
      <c r="T47" s="25"/>
    </row>
    <row r="48" spans="1:62" ht="13.5">
      <c r="A48" s="7" t="s">
        <v>94</v>
      </c>
      <c r="B48" s="7" t="s">
        <v>106</v>
      </c>
      <c r="C48" s="7" t="s">
        <v>129</v>
      </c>
      <c r="D48" s="8">
        <v>24</v>
      </c>
      <c r="E48" s="8">
        <v>7</v>
      </c>
      <c r="F48" s="8">
        <v>12</v>
      </c>
      <c r="G48" s="8">
        <f t="shared" si="0"/>
        <v>84</v>
      </c>
      <c r="H48" s="9">
        <v>26</v>
      </c>
      <c r="I48" s="9">
        <v>3005</v>
      </c>
      <c r="J48" s="9">
        <v>22.5</v>
      </c>
      <c r="K48" s="10">
        <f t="shared" si="1"/>
        <v>1.757925</v>
      </c>
      <c r="L48" s="9">
        <v>4.8</v>
      </c>
      <c r="M48" s="9">
        <v>5.45</v>
      </c>
      <c r="N48" s="11">
        <v>80</v>
      </c>
      <c r="O48" s="8">
        <v>120</v>
      </c>
      <c r="P48" s="11" t="b">
        <v>0</v>
      </c>
      <c r="Q48" s="11" t="b">
        <v>0</v>
      </c>
      <c r="R48" s="11"/>
      <c r="S48" s="25"/>
      <c r="T48" s="25"/>
    </row>
    <row r="49" spans="1:20" ht="13.5">
      <c r="A49" s="7" t="s">
        <v>94</v>
      </c>
      <c r="B49" s="7" t="s">
        <v>167</v>
      </c>
      <c r="C49" s="7" t="s">
        <v>169</v>
      </c>
      <c r="D49" s="8">
        <v>24</v>
      </c>
      <c r="E49" s="8">
        <v>7</v>
      </c>
      <c r="F49" s="8">
        <v>12</v>
      </c>
      <c r="G49" s="8">
        <f t="shared" ref="G49:G50" si="9">E49*F49</f>
        <v>84</v>
      </c>
      <c r="H49" s="9">
        <v>26</v>
      </c>
      <c r="I49" s="9">
        <v>3005</v>
      </c>
      <c r="J49" s="9">
        <v>22.5</v>
      </c>
      <c r="K49" s="10">
        <f t="shared" si="1"/>
        <v>1.757925</v>
      </c>
      <c r="L49" s="9">
        <v>4.8</v>
      </c>
      <c r="M49" s="9">
        <v>5.45</v>
      </c>
      <c r="N49" s="11">
        <v>80</v>
      </c>
      <c r="O49" s="8">
        <v>120</v>
      </c>
      <c r="P49" s="11" t="b">
        <v>0</v>
      </c>
      <c r="Q49" s="11" t="b">
        <v>0</v>
      </c>
      <c r="R49" s="11"/>
      <c r="S49" s="25"/>
      <c r="T49" s="25"/>
    </row>
    <row r="50" spans="1:20" ht="13.5">
      <c r="A50" s="7" t="s">
        <v>94</v>
      </c>
      <c r="B50" s="7" t="s">
        <v>168</v>
      </c>
      <c r="C50" s="7" t="s">
        <v>170</v>
      </c>
      <c r="D50" s="8">
        <v>24</v>
      </c>
      <c r="E50" s="8">
        <v>7</v>
      </c>
      <c r="F50" s="8">
        <v>12</v>
      </c>
      <c r="G50" s="8">
        <f t="shared" si="9"/>
        <v>84</v>
      </c>
      <c r="H50" s="9">
        <v>26</v>
      </c>
      <c r="I50" s="9">
        <v>3005</v>
      </c>
      <c r="J50" s="9">
        <v>22.5</v>
      </c>
      <c r="K50" s="10">
        <f t="shared" si="1"/>
        <v>1.757925</v>
      </c>
      <c r="L50" s="9">
        <v>4.8</v>
      </c>
      <c r="M50" s="9">
        <v>5.45</v>
      </c>
      <c r="N50" s="11">
        <v>80</v>
      </c>
      <c r="O50" s="8">
        <v>120</v>
      </c>
      <c r="P50" s="11" t="b">
        <v>0</v>
      </c>
      <c r="Q50" s="11" t="b">
        <v>0</v>
      </c>
      <c r="R50" s="11"/>
      <c r="S50" s="25"/>
      <c r="T50" s="25"/>
    </row>
    <row r="51" spans="1:20" ht="13.5">
      <c r="A51" s="7" t="s">
        <v>94</v>
      </c>
      <c r="B51" s="7" t="s">
        <v>142</v>
      </c>
      <c r="C51" s="7" t="s">
        <v>130</v>
      </c>
      <c r="D51" s="8">
        <v>18</v>
      </c>
      <c r="E51" s="8">
        <v>7</v>
      </c>
      <c r="F51" s="8">
        <v>12</v>
      </c>
      <c r="G51" s="8">
        <f t="shared" si="0"/>
        <v>84</v>
      </c>
      <c r="H51" s="9">
        <v>26</v>
      </c>
      <c r="I51" s="9">
        <v>30</v>
      </c>
      <c r="J51" s="9">
        <v>24</v>
      </c>
      <c r="K51" s="10">
        <f t="shared" si="1"/>
        <v>1.8720000000000001E-2</v>
      </c>
      <c r="L51" s="9">
        <v>6.1</v>
      </c>
      <c r="M51" s="9">
        <v>5.4</v>
      </c>
      <c r="N51" s="11">
        <v>80</v>
      </c>
      <c r="O51" s="8">
        <v>120</v>
      </c>
      <c r="P51" s="11" t="b">
        <v>0</v>
      </c>
      <c r="Q51" s="11" t="b">
        <v>0</v>
      </c>
      <c r="R51" s="11"/>
      <c r="S51" s="25"/>
      <c r="T51" s="25"/>
    </row>
    <row r="52" spans="1:20" ht="13.5">
      <c r="A52" s="7" t="s">
        <v>94</v>
      </c>
      <c r="B52" s="7" t="s">
        <v>107</v>
      </c>
      <c r="C52" s="7" t="s">
        <v>131</v>
      </c>
      <c r="D52" s="8">
        <v>18</v>
      </c>
      <c r="E52" s="8">
        <v>7</v>
      </c>
      <c r="F52" s="8">
        <v>12</v>
      </c>
      <c r="G52" s="8">
        <f t="shared" ref="G52:G62" si="10">E52*F52</f>
        <v>84</v>
      </c>
      <c r="H52" s="9">
        <v>26</v>
      </c>
      <c r="I52" s="9">
        <v>30</v>
      </c>
      <c r="J52" s="9">
        <v>24</v>
      </c>
      <c r="K52" s="10">
        <f t="shared" si="1"/>
        <v>1.8720000000000001E-2</v>
      </c>
      <c r="L52" s="9">
        <v>6.1</v>
      </c>
      <c r="M52" s="9">
        <v>5.4</v>
      </c>
      <c r="N52" s="11">
        <v>80</v>
      </c>
      <c r="O52" s="8">
        <v>120</v>
      </c>
      <c r="P52" s="11" t="b">
        <v>0</v>
      </c>
      <c r="Q52" s="11" t="b">
        <v>0</v>
      </c>
      <c r="R52" s="11"/>
      <c r="S52" s="25"/>
      <c r="T52" s="25"/>
    </row>
    <row r="53" spans="1:20" ht="13.5">
      <c r="A53" s="7" t="s">
        <v>94</v>
      </c>
      <c r="B53" s="7" t="s">
        <v>108</v>
      </c>
      <c r="C53" s="7" t="s">
        <v>132</v>
      </c>
      <c r="D53" s="8">
        <v>18</v>
      </c>
      <c r="E53" s="8">
        <v>7</v>
      </c>
      <c r="F53" s="8">
        <v>12</v>
      </c>
      <c r="G53" s="8">
        <f t="shared" si="10"/>
        <v>84</v>
      </c>
      <c r="H53" s="9">
        <v>26</v>
      </c>
      <c r="I53" s="9">
        <v>30</v>
      </c>
      <c r="J53" s="9">
        <v>24</v>
      </c>
      <c r="K53" s="10">
        <f t="shared" si="1"/>
        <v>1.8720000000000001E-2</v>
      </c>
      <c r="L53" s="9">
        <v>6.1</v>
      </c>
      <c r="M53" s="9">
        <v>5.4</v>
      </c>
      <c r="N53" s="11">
        <v>80</v>
      </c>
      <c r="O53" s="8">
        <v>120</v>
      </c>
      <c r="P53" s="11" t="b">
        <v>0</v>
      </c>
      <c r="Q53" s="11" t="b">
        <v>0</v>
      </c>
      <c r="R53" s="11"/>
      <c r="S53" s="25"/>
      <c r="T53" s="25"/>
    </row>
    <row r="54" spans="1:20" ht="13.5">
      <c r="A54" s="7" t="s">
        <v>94</v>
      </c>
      <c r="B54" s="7" t="s">
        <v>109</v>
      </c>
      <c r="C54" s="7" t="s">
        <v>133</v>
      </c>
      <c r="D54" s="8">
        <v>18</v>
      </c>
      <c r="E54" s="8">
        <v>7</v>
      </c>
      <c r="F54" s="8">
        <v>12</v>
      </c>
      <c r="G54" s="8">
        <f t="shared" si="10"/>
        <v>84</v>
      </c>
      <c r="H54" s="9">
        <v>26</v>
      </c>
      <c r="I54" s="9">
        <v>30</v>
      </c>
      <c r="J54" s="9">
        <v>24</v>
      </c>
      <c r="K54" s="10">
        <f t="shared" si="1"/>
        <v>1.8720000000000001E-2</v>
      </c>
      <c r="L54" s="9">
        <v>6.1</v>
      </c>
      <c r="M54" s="9">
        <v>5.4</v>
      </c>
      <c r="N54" s="11">
        <v>80</v>
      </c>
      <c r="O54" s="8">
        <v>120</v>
      </c>
      <c r="P54" s="11" t="b">
        <v>0</v>
      </c>
      <c r="Q54" s="11" t="b">
        <v>0</v>
      </c>
      <c r="R54" s="11"/>
      <c r="S54" s="25"/>
      <c r="T54" s="25"/>
    </row>
    <row r="55" spans="1:20" ht="13.5">
      <c r="A55" s="7" t="s">
        <v>94</v>
      </c>
      <c r="B55" s="12" t="s">
        <v>110</v>
      </c>
      <c r="C55" s="7" t="s">
        <v>134</v>
      </c>
      <c r="D55" s="8">
        <v>18</v>
      </c>
      <c r="E55" s="8">
        <v>7</v>
      </c>
      <c r="F55" s="8">
        <v>12</v>
      </c>
      <c r="G55" s="8">
        <f t="shared" si="10"/>
        <v>84</v>
      </c>
      <c r="H55" s="9">
        <v>26</v>
      </c>
      <c r="I55" s="9">
        <v>30</v>
      </c>
      <c r="J55" s="9">
        <v>24</v>
      </c>
      <c r="K55" s="10">
        <f t="shared" si="1"/>
        <v>1.8720000000000001E-2</v>
      </c>
      <c r="L55" s="9">
        <v>6.1</v>
      </c>
      <c r="M55" s="9">
        <v>5.4</v>
      </c>
      <c r="N55" s="11">
        <v>80</v>
      </c>
      <c r="O55" s="8">
        <v>120</v>
      </c>
      <c r="P55" s="11" t="b">
        <v>0</v>
      </c>
      <c r="Q55" s="11" t="b">
        <v>0</v>
      </c>
      <c r="R55" s="11"/>
      <c r="S55" s="25"/>
      <c r="T55" s="25"/>
    </row>
    <row r="56" spans="1:20" ht="13.5">
      <c r="A56" s="7" t="s">
        <v>94</v>
      </c>
      <c r="B56" s="7" t="s">
        <v>111</v>
      </c>
      <c r="C56" s="7" t="s">
        <v>135</v>
      </c>
      <c r="D56" s="8">
        <v>18</v>
      </c>
      <c r="E56" s="8">
        <v>7</v>
      </c>
      <c r="F56" s="8">
        <v>12</v>
      </c>
      <c r="G56" s="8">
        <f t="shared" si="10"/>
        <v>84</v>
      </c>
      <c r="H56" s="9">
        <v>26</v>
      </c>
      <c r="I56" s="9">
        <v>30</v>
      </c>
      <c r="J56" s="9">
        <v>24</v>
      </c>
      <c r="K56" s="10">
        <f t="shared" si="1"/>
        <v>1.8720000000000001E-2</v>
      </c>
      <c r="L56" s="9">
        <v>6.1</v>
      </c>
      <c r="M56" s="9">
        <v>5.4</v>
      </c>
      <c r="N56" s="11">
        <v>80</v>
      </c>
      <c r="O56" s="8">
        <v>120</v>
      </c>
      <c r="P56" s="11" t="b">
        <v>0</v>
      </c>
      <c r="Q56" s="11" t="b">
        <v>0</v>
      </c>
      <c r="R56" s="11"/>
      <c r="S56" s="25"/>
      <c r="T56" s="25"/>
    </row>
    <row r="57" spans="1:20" ht="13.5">
      <c r="A57" s="7" t="s">
        <v>94</v>
      </c>
      <c r="B57" s="7" t="s">
        <v>112</v>
      </c>
      <c r="C57" s="12" t="s">
        <v>136</v>
      </c>
      <c r="D57" s="8">
        <v>18</v>
      </c>
      <c r="E57" s="8">
        <v>7</v>
      </c>
      <c r="F57" s="8">
        <v>12</v>
      </c>
      <c r="G57" s="8">
        <f t="shared" si="10"/>
        <v>84</v>
      </c>
      <c r="H57" s="9">
        <v>26</v>
      </c>
      <c r="I57" s="9">
        <v>30</v>
      </c>
      <c r="J57" s="9">
        <v>24</v>
      </c>
      <c r="K57" s="10">
        <f t="shared" si="1"/>
        <v>1.8720000000000001E-2</v>
      </c>
      <c r="L57" s="9">
        <v>6.1</v>
      </c>
      <c r="M57" s="9">
        <v>5.4</v>
      </c>
      <c r="N57" s="11">
        <v>80</v>
      </c>
      <c r="O57" s="8">
        <v>120</v>
      </c>
      <c r="P57" s="11" t="b">
        <v>0</v>
      </c>
      <c r="Q57" s="11" t="b">
        <v>0</v>
      </c>
      <c r="R57" s="11"/>
      <c r="S57" s="25"/>
      <c r="T57" s="25"/>
    </row>
    <row r="58" spans="1:20" ht="13.5">
      <c r="A58" s="7" t="s">
        <v>94</v>
      </c>
      <c r="B58" s="7" t="s">
        <v>113</v>
      </c>
      <c r="C58" s="7" t="s">
        <v>137</v>
      </c>
      <c r="D58" s="8">
        <v>18</v>
      </c>
      <c r="E58" s="8">
        <v>7</v>
      </c>
      <c r="F58" s="8">
        <v>12</v>
      </c>
      <c r="G58" s="8">
        <f t="shared" si="10"/>
        <v>84</v>
      </c>
      <c r="H58" s="9">
        <v>26</v>
      </c>
      <c r="I58" s="9">
        <v>30</v>
      </c>
      <c r="J58" s="9">
        <v>24</v>
      </c>
      <c r="K58" s="10">
        <f t="shared" si="1"/>
        <v>1.8720000000000001E-2</v>
      </c>
      <c r="L58" s="9">
        <v>6.1</v>
      </c>
      <c r="M58" s="9">
        <v>5.4</v>
      </c>
      <c r="N58" s="11">
        <v>80</v>
      </c>
      <c r="O58" s="8">
        <v>120</v>
      </c>
      <c r="P58" s="11" t="b">
        <v>0</v>
      </c>
      <c r="Q58" s="11" t="b">
        <v>0</v>
      </c>
      <c r="R58" s="11"/>
      <c r="S58" s="25"/>
      <c r="T58" s="25"/>
    </row>
    <row r="59" spans="1:20" ht="13.5">
      <c r="A59" s="7" t="s">
        <v>94</v>
      </c>
      <c r="B59" s="7" t="s">
        <v>114</v>
      </c>
      <c r="C59" s="7" t="s">
        <v>138</v>
      </c>
      <c r="D59" s="8">
        <v>18</v>
      </c>
      <c r="E59" s="8">
        <v>7</v>
      </c>
      <c r="F59" s="8">
        <v>12</v>
      </c>
      <c r="G59" s="8">
        <f t="shared" si="10"/>
        <v>84</v>
      </c>
      <c r="H59" s="9">
        <v>26</v>
      </c>
      <c r="I59" s="9">
        <v>30</v>
      </c>
      <c r="J59" s="9">
        <v>24</v>
      </c>
      <c r="K59" s="10">
        <f t="shared" si="1"/>
        <v>1.8720000000000001E-2</v>
      </c>
      <c r="L59" s="9">
        <v>6.1</v>
      </c>
      <c r="M59" s="9">
        <v>5.4</v>
      </c>
      <c r="N59" s="11">
        <v>80</v>
      </c>
      <c r="O59" s="8">
        <v>120</v>
      </c>
      <c r="P59" s="11" t="b">
        <v>0</v>
      </c>
      <c r="Q59" s="11" t="b">
        <v>0</v>
      </c>
      <c r="R59" s="11"/>
      <c r="S59" s="25"/>
      <c r="T59" s="25"/>
    </row>
    <row r="60" spans="1:20" ht="13.5">
      <c r="A60" s="7" t="s">
        <v>94</v>
      </c>
      <c r="B60" s="7" t="s">
        <v>115</v>
      </c>
      <c r="C60" s="7" t="s">
        <v>139</v>
      </c>
      <c r="D60" s="8">
        <v>18</v>
      </c>
      <c r="E60" s="8">
        <v>7</v>
      </c>
      <c r="F60" s="8">
        <v>12</v>
      </c>
      <c r="G60" s="8">
        <f t="shared" si="10"/>
        <v>84</v>
      </c>
      <c r="H60" s="9">
        <v>26</v>
      </c>
      <c r="I60" s="9">
        <v>30</v>
      </c>
      <c r="J60" s="9">
        <v>24</v>
      </c>
      <c r="K60" s="10">
        <f t="shared" si="1"/>
        <v>1.8720000000000001E-2</v>
      </c>
      <c r="L60" s="9">
        <v>6.1</v>
      </c>
      <c r="M60" s="9">
        <v>5.4</v>
      </c>
      <c r="N60" s="11">
        <v>80</v>
      </c>
      <c r="O60" s="8">
        <v>120</v>
      </c>
      <c r="P60" s="11" t="b">
        <v>0</v>
      </c>
      <c r="Q60" s="11" t="b">
        <v>0</v>
      </c>
      <c r="R60" s="11"/>
      <c r="S60" s="25"/>
      <c r="T60" s="25"/>
    </row>
    <row r="61" spans="1:20" ht="13.5">
      <c r="A61" s="7" t="s">
        <v>94</v>
      </c>
      <c r="B61" s="7" t="s">
        <v>116</v>
      </c>
      <c r="C61" s="7" t="s">
        <v>140</v>
      </c>
      <c r="D61" s="8">
        <v>18</v>
      </c>
      <c r="E61" s="8">
        <v>7</v>
      </c>
      <c r="F61" s="8">
        <v>12</v>
      </c>
      <c r="G61" s="8">
        <f t="shared" si="10"/>
        <v>84</v>
      </c>
      <c r="H61" s="9">
        <v>26</v>
      </c>
      <c r="I61" s="9">
        <v>30</v>
      </c>
      <c r="J61" s="9">
        <v>24</v>
      </c>
      <c r="K61" s="10">
        <f t="shared" si="1"/>
        <v>1.8720000000000001E-2</v>
      </c>
      <c r="L61" s="9">
        <v>6.1</v>
      </c>
      <c r="M61" s="9">
        <v>5.4</v>
      </c>
      <c r="N61" s="11">
        <v>80</v>
      </c>
      <c r="O61" s="8">
        <v>120</v>
      </c>
      <c r="P61" s="11" t="b">
        <v>0</v>
      </c>
      <c r="Q61" s="11" t="b">
        <v>0</v>
      </c>
      <c r="R61" s="11"/>
      <c r="S61" s="25"/>
      <c r="T61" s="25"/>
    </row>
    <row r="62" spans="1:20" ht="13.5">
      <c r="A62" s="7" t="s">
        <v>94</v>
      </c>
      <c r="B62" s="7" t="s">
        <v>117</v>
      </c>
      <c r="C62" s="7" t="s">
        <v>141</v>
      </c>
      <c r="D62" s="8">
        <v>18</v>
      </c>
      <c r="E62" s="8">
        <v>7</v>
      </c>
      <c r="F62" s="8">
        <v>12</v>
      </c>
      <c r="G62" s="8">
        <f t="shared" si="10"/>
        <v>84</v>
      </c>
      <c r="H62" s="9">
        <v>26</v>
      </c>
      <c r="I62" s="9">
        <v>30</v>
      </c>
      <c r="J62" s="9">
        <v>24</v>
      </c>
      <c r="K62" s="10">
        <f t="shared" si="1"/>
        <v>1.8720000000000001E-2</v>
      </c>
      <c r="L62" s="9">
        <v>6.1</v>
      </c>
      <c r="M62" s="9">
        <v>5.4</v>
      </c>
      <c r="N62" s="11">
        <v>80</v>
      </c>
      <c r="O62" s="8">
        <v>120</v>
      </c>
      <c r="P62" s="11" t="b">
        <v>0</v>
      </c>
      <c r="Q62" s="11" t="b">
        <v>0</v>
      </c>
      <c r="R62" s="11"/>
      <c r="S62" s="25"/>
      <c r="T62" s="25"/>
    </row>
    <row r="63" spans="1:20" ht="13.5">
      <c r="A63" s="7" t="s">
        <v>94</v>
      </c>
      <c r="B63" s="7" t="s">
        <v>171</v>
      </c>
      <c r="C63" s="7" t="s">
        <v>173</v>
      </c>
      <c r="D63" s="8">
        <v>18</v>
      </c>
      <c r="E63" s="8">
        <v>7</v>
      </c>
      <c r="F63" s="8">
        <v>12</v>
      </c>
      <c r="G63" s="8">
        <f t="shared" ref="G63:G64" si="11">E63*F63</f>
        <v>84</v>
      </c>
      <c r="H63" s="9">
        <v>26</v>
      </c>
      <c r="I63" s="9">
        <v>30</v>
      </c>
      <c r="J63" s="9">
        <v>24</v>
      </c>
      <c r="K63" s="10">
        <f t="shared" ref="K63:K64" si="12">H63*I63*J63/1000000</f>
        <v>1.8720000000000001E-2</v>
      </c>
      <c r="L63" s="9">
        <v>6.1</v>
      </c>
      <c r="M63" s="9">
        <v>5.4</v>
      </c>
      <c r="N63" s="11">
        <v>80</v>
      </c>
      <c r="O63" s="8">
        <v>120</v>
      </c>
      <c r="P63" s="11" t="b">
        <v>0</v>
      </c>
      <c r="Q63" s="11" t="b">
        <v>0</v>
      </c>
      <c r="R63" s="11"/>
      <c r="S63" s="25"/>
      <c r="T63" s="25"/>
    </row>
    <row r="64" spans="1:20" ht="13.5">
      <c r="A64" s="7" t="s">
        <v>94</v>
      </c>
      <c r="B64" s="7" t="s">
        <v>172</v>
      </c>
      <c r="C64" s="7" t="s">
        <v>174</v>
      </c>
      <c r="D64" s="8">
        <v>18</v>
      </c>
      <c r="E64" s="8">
        <v>7</v>
      </c>
      <c r="F64" s="8">
        <v>12</v>
      </c>
      <c r="G64" s="8">
        <f t="shared" si="11"/>
        <v>84</v>
      </c>
      <c r="H64" s="9">
        <v>26</v>
      </c>
      <c r="I64" s="9">
        <v>30</v>
      </c>
      <c r="J64" s="9">
        <v>24</v>
      </c>
      <c r="K64" s="10">
        <f t="shared" si="12"/>
        <v>1.8720000000000001E-2</v>
      </c>
      <c r="L64" s="9">
        <v>6.1</v>
      </c>
      <c r="M64" s="9">
        <v>5.4</v>
      </c>
      <c r="N64" s="11">
        <v>80</v>
      </c>
      <c r="O64" s="8">
        <v>120</v>
      </c>
      <c r="P64" s="11" t="b">
        <v>0</v>
      </c>
      <c r="Q64" s="11" t="b">
        <v>0</v>
      </c>
      <c r="R64" s="11"/>
      <c r="S64" s="25"/>
      <c r="T64" s="25"/>
    </row>
    <row r="65" spans="1:20" ht="13.5">
      <c r="A65" s="7" t="s">
        <v>94</v>
      </c>
      <c r="B65" s="7" t="s">
        <v>143</v>
      </c>
      <c r="C65" s="7" t="s">
        <v>144</v>
      </c>
      <c r="D65" s="8">
        <v>12</v>
      </c>
      <c r="E65" s="8">
        <v>7</v>
      </c>
      <c r="F65" s="8">
        <v>12</v>
      </c>
      <c r="G65" s="8">
        <f t="shared" si="0"/>
        <v>84</v>
      </c>
      <c r="H65" s="9">
        <v>26</v>
      </c>
      <c r="I65" s="9">
        <v>30.5</v>
      </c>
      <c r="J65" s="9">
        <v>22.5</v>
      </c>
      <c r="K65" s="10">
        <f t="shared" si="1"/>
        <v>1.7842500000000001E-2</v>
      </c>
      <c r="L65" s="9">
        <v>6.7</v>
      </c>
      <c r="M65" s="9">
        <v>6</v>
      </c>
      <c r="N65" s="11">
        <v>80</v>
      </c>
      <c r="O65" s="8">
        <v>120</v>
      </c>
      <c r="P65" s="11" t="b">
        <v>0</v>
      </c>
      <c r="Q65" s="11" t="b">
        <v>0</v>
      </c>
      <c r="R65" s="11"/>
      <c r="S65" s="25"/>
      <c r="T65" s="25"/>
    </row>
    <row r="66" spans="1:20" ht="13.5">
      <c r="A66" s="7" t="s">
        <v>94</v>
      </c>
      <c r="B66" s="7" t="s">
        <v>156</v>
      </c>
      <c r="C66" s="7" t="s">
        <v>145</v>
      </c>
      <c r="D66" s="8">
        <v>12</v>
      </c>
      <c r="E66" s="8">
        <v>7</v>
      </c>
      <c r="F66" s="8">
        <v>12</v>
      </c>
      <c r="G66" s="8">
        <f t="shared" ref="G66:G76" si="13">E66*F66</f>
        <v>84</v>
      </c>
      <c r="H66" s="9">
        <v>26</v>
      </c>
      <c r="I66" s="9">
        <v>30.5</v>
      </c>
      <c r="J66" s="9">
        <v>22.5</v>
      </c>
      <c r="K66" s="10">
        <f t="shared" si="1"/>
        <v>1.7842500000000001E-2</v>
      </c>
      <c r="L66" s="9">
        <v>6.7</v>
      </c>
      <c r="M66" s="9">
        <v>6</v>
      </c>
      <c r="N66" s="11">
        <v>80</v>
      </c>
      <c r="O66" s="8">
        <v>120</v>
      </c>
      <c r="P66" s="11" t="b">
        <v>0</v>
      </c>
      <c r="Q66" s="11" t="b">
        <v>0</v>
      </c>
      <c r="R66" s="11"/>
      <c r="S66" s="25"/>
      <c r="T66" s="25"/>
    </row>
    <row r="67" spans="1:20" ht="13.5">
      <c r="A67" s="7" t="s">
        <v>94</v>
      </c>
      <c r="B67" s="7" t="s">
        <v>157</v>
      </c>
      <c r="C67" s="7" t="s">
        <v>146</v>
      </c>
      <c r="D67" s="8">
        <v>12</v>
      </c>
      <c r="E67" s="8">
        <v>7</v>
      </c>
      <c r="F67" s="8">
        <v>12</v>
      </c>
      <c r="G67" s="8">
        <f t="shared" si="13"/>
        <v>84</v>
      </c>
      <c r="H67" s="9">
        <v>26</v>
      </c>
      <c r="I67" s="9">
        <v>30.5</v>
      </c>
      <c r="J67" s="9">
        <v>22.5</v>
      </c>
      <c r="K67" s="10">
        <f t="shared" si="1"/>
        <v>1.7842500000000001E-2</v>
      </c>
      <c r="L67" s="9">
        <v>6.7</v>
      </c>
      <c r="M67" s="9">
        <v>6</v>
      </c>
      <c r="N67" s="11">
        <v>80</v>
      </c>
      <c r="O67" s="8">
        <v>120</v>
      </c>
      <c r="P67" s="11" t="b">
        <v>0</v>
      </c>
      <c r="Q67" s="11" t="b">
        <v>0</v>
      </c>
      <c r="R67" s="11"/>
      <c r="S67" s="25"/>
      <c r="T67" s="25"/>
    </row>
    <row r="68" spans="1:20" ht="13.5">
      <c r="A68" s="7" t="s">
        <v>94</v>
      </c>
      <c r="B68" s="7" t="s">
        <v>158</v>
      </c>
      <c r="C68" s="7" t="s">
        <v>147</v>
      </c>
      <c r="D68" s="8">
        <v>12</v>
      </c>
      <c r="E68" s="8">
        <v>7</v>
      </c>
      <c r="F68" s="8">
        <v>12</v>
      </c>
      <c r="G68" s="8">
        <f t="shared" si="13"/>
        <v>84</v>
      </c>
      <c r="H68" s="9">
        <v>26</v>
      </c>
      <c r="I68" s="9">
        <v>30.5</v>
      </c>
      <c r="J68" s="9">
        <v>22.5</v>
      </c>
      <c r="K68" s="10">
        <f t="shared" si="1"/>
        <v>1.7842500000000001E-2</v>
      </c>
      <c r="L68" s="9">
        <v>6.7</v>
      </c>
      <c r="M68" s="9">
        <v>6</v>
      </c>
      <c r="N68" s="11">
        <v>80</v>
      </c>
      <c r="O68" s="8">
        <v>120</v>
      </c>
      <c r="P68" s="11" t="b">
        <v>0</v>
      </c>
      <c r="Q68" s="11" t="b">
        <v>0</v>
      </c>
      <c r="R68" s="11"/>
      <c r="S68" s="25"/>
      <c r="T68" s="25"/>
    </row>
    <row r="69" spans="1:20" ht="13.5">
      <c r="A69" s="7" t="s">
        <v>94</v>
      </c>
      <c r="B69" s="12" t="s">
        <v>159</v>
      </c>
      <c r="C69" s="7" t="s">
        <v>148</v>
      </c>
      <c r="D69" s="8">
        <v>12</v>
      </c>
      <c r="E69" s="8">
        <v>7</v>
      </c>
      <c r="F69" s="8">
        <v>12</v>
      </c>
      <c r="G69" s="8">
        <f t="shared" si="13"/>
        <v>84</v>
      </c>
      <c r="H69" s="9">
        <v>26</v>
      </c>
      <c r="I69" s="9">
        <v>30.5</v>
      </c>
      <c r="J69" s="9">
        <v>22.5</v>
      </c>
      <c r="K69" s="10">
        <f t="shared" si="1"/>
        <v>1.7842500000000001E-2</v>
      </c>
      <c r="L69" s="9">
        <v>6.7</v>
      </c>
      <c r="M69" s="9">
        <v>6</v>
      </c>
      <c r="N69" s="11">
        <v>80</v>
      </c>
      <c r="O69" s="8">
        <v>120</v>
      </c>
      <c r="P69" s="11" t="b">
        <v>0</v>
      </c>
      <c r="Q69" s="11" t="b">
        <v>0</v>
      </c>
      <c r="R69" s="11"/>
      <c r="S69" s="25"/>
      <c r="T69" s="25"/>
    </row>
    <row r="70" spans="1:20" ht="13.5">
      <c r="A70" s="7" t="s">
        <v>94</v>
      </c>
      <c r="B70" s="7" t="s">
        <v>160</v>
      </c>
      <c r="C70" s="7" t="s">
        <v>149</v>
      </c>
      <c r="D70" s="8">
        <v>12</v>
      </c>
      <c r="E70" s="8">
        <v>7</v>
      </c>
      <c r="F70" s="8">
        <v>12</v>
      </c>
      <c r="G70" s="8">
        <f t="shared" si="13"/>
        <v>84</v>
      </c>
      <c r="H70" s="9">
        <v>26</v>
      </c>
      <c r="I70" s="9">
        <v>30.5</v>
      </c>
      <c r="J70" s="9">
        <v>22.5</v>
      </c>
      <c r="K70" s="10">
        <f t="shared" si="1"/>
        <v>1.7842500000000001E-2</v>
      </c>
      <c r="L70" s="9">
        <v>6.7</v>
      </c>
      <c r="M70" s="9">
        <v>6</v>
      </c>
      <c r="N70" s="11">
        <v>80</v>
      </c>
      <c r="O70" s="8">
        <v>120</v>
      </c>
      <c r="P70" s="11" t="b">
        <v>0</v>
      </c>
      <c r="Q70" s="11" t="b">
        <v>0</v>
      </c>
      <c r="R70" s="11"/>
      <c r="S70" s="25"/>
      <c r="T70" s="25"/>
    </row>
    <row r="71" spans="1:20" ht="13.5">
      <c r="A71" s="7" t="s">
        <v>94</v>
      </c>
      <c r="B71" s="7" t="s">
        <v>161</v>
      </c>
      <c r="C71" s="12" t="s">
        <v>150</v>
      </c>
      <c r="D71" s="8">
        <v>12</v>
      </c>
      <c r="E71" s="8">
        <v>7</v>
      </c>
      <c r="F71" s="8">
        <v>12</v>
      </c>
      <c r="G71" s="8">
        <f t="shared" si="13"/>
        <v>84</v>
      </c>
      <c r="H71" s="9">
        <v>26</v>
      </c>
      <c r="I71" s="9">
        <v>30.5</v>
      </c>
      <c r="J71" s="9">
        <v>22.5</v>
      </c>
      <c r="K71" s="10">
        <f t="shared" si="1"/>
        <v>1.7842500000000001E-2</v>
      </c>
      <c r="L71" s="9">
        <v>6.7</v>
      </c>
      <c r="M71" s="9">
        <v>6</v>
      </c>
      <c r="N71" s="11">
        <v>80</v>
      </c>
      <c r="O71" s="8">
        <v>120</v>
      </c>
      <c r="P71" s="11" t="b">
        <v>0</v>
      </c>
      <c r="Q71" s="11" t="b">
        <v>0</v>
      </c>
      <c r="R71" s="11"/>
      <c r="S71" s="25"/>
      <c r="T71" s="25"/>
    </row>
    <row r="72" spans="1:20" ht="13.5">
      <c r="A72" s="7" t="s">
        <v>94</v>
      </c>
      <c r="B72" s="7" t="s">
        <v>162</v>
      </c>
      <c r="C72" s="7" t="s">
        <v>151</v>
      </c>
      <c r="D72" s="8">
        <v>12</v>
      </c>
      <c r="E72" s="8">
        <v>7</v>
      </c>
      <c r="F72" s="8">
        <v>12</v>
      </c>
      <c r="G72" s="8">
        <f t="shared" si="13"/>
        <v>84</v>
      </c>
      <c r="H72" s="9">
        <v>26</v>
      </c>
      <c r="I72" s="9">
        <v>30.5</v>
      </c>
      <c r="J72" s="9">
        <v>22.5</v>
      </c>
      <c r="K72" s="22">
        <f t="shared" si="1"/>
        <v>1.7842500000000001E-2</v>
      </c>
      <c r="L72" s="9">
        <v>6.7</v>
      </c>
      <c r="M72" s="9">
        <v>6</v>
      </c>
      <c r="N72" s="11">
        <v>80</v>
      </c>
      <c r="O72" s="8">
        <v>120</v>
      </c>
      <c r="P72" s="11" t="b">
        <v>0</v>
      </c>
      <c r="Q72" s="11" t="b">
        <v>0</v>
      </c>
      <c r="R72" s="11"/>
      <c r="S72" s="25"/>
      <c r="T72" s="25"/>
    </row>
    <row r="73" spans="1:20" ht="13.5">
      <c r="A73" s="7" t="s">
        <v>94</v>
      </c>
      <c r="B73" s="7" t="s">
        <v>163</v>
      </c>
      <c r="C73" s="7" t="s">
        <v>152</v>
      </c>
      <c r="D73" s="8">
        <v>12</v>
      </c>
      <c r="E73" s="8">
        <v>7</v>
      </c>
      <c r="F73" s="8">
        <v>12</v>
      </c>
      <c r="G73" s="8">
        <f t="shared" si="13"/>
        <v>84</v>
      </c>
      <c r="H73" s="9">
        <v>26</v>
      </c>
      <c r="I73" s="9">
        <v>30.5</v>
      </c>
      <c r="J73" s="9">
        <v>22.5</v>
      </c>
      <c r="K73" s="22">
        <f t="shared" ref="K73:K76" si="14">H73*I73*J73/1000000</f>
        <v>1.7842500000000001E-2</v>
      </c>
      <c r="L73" s="9">
        <v>6.7</v>
      </c>
      <c r="M73" s="9">
        <v>6</v>
      </c>
      <c r="N73" s="11">
        <v>80</v>
      </c>
      <c r="O73" s="8">
        <v>120</v>
      </c>
      <c r="P73" s="11" t="b">
        <v>0</v>
      </c>
      <c r="Q73" s="11" t="b">
        <v>0</v>
      </c>
      <c r="R73" s="11"/>
      <c r="S73" s="25"/>
      <c r="T73" s="25"/>
    </row>
    <row r="74" spans="1:20" ht="13.5">
      <c r="A74" s="7" t="s">
        <v>94</v>
      </c>
      <c r="B74" s="7" t="s">
        <v>164</v>
      </c>
      <c r="C74" s="7" t="s">
        <v>153</v>
      </c>
      <c r="D74" s="8">
        <v>12</v>
      </c>
      <c r="E74" s="8">
        <v>7</v>
      </c>
      <c r="F74" s="8">
        <v>12</v>
      </c>
      <c r="G74" s="8">
        <f t="shared" si="13"/>
        <v>84</v>
      </c>
      <c r="H74" s="9">
        <v>26</v>
      </c>
      <c r="I74" s="9">
        <v>30.5</v>
      </c>
      <c r="J74" s="9">
        <v>22.5</v>
      </c>
      <c r="K74" s="22">
        <f t="shared" si="14"/>
        <v>1.7842500000000001E-2</v>
      </c>
      <c r="L74" s="9">
        <v>6.7</v>
      </c>
      <c r="M74" s="9">
        <v>6</v>
      </c>
      <c r="N74" s="11">
        <v>80</v>
      </c>
      <c r="O74" s="8">
        <v>120</v>
      </c>
      <c r="P74" s="11" t="b">
        <v>0</v>
      </c>
      <c r="Q74" s="11" t="b">
        <v>0</v>
      </c>
      <c r="R74" s="11"/>
      <c r="S74" s="25"/>
      <c r="T74" s="25"/>
    </row>
    <row r="75" spans="1:20" ht="13.5">
      <c r="A75" s="7" t="s">
        <v>94</v>
      </c>
      <c r="B75" s="7" t="s">
        <v>165</v>
      </c>
      <c r="C75" s="7" t="s">
        <v>154</v>
      </c>
      <c r="D75" s="8">
        <v>12</v>
      </c>
      <c r="E75" s="8">
        <v>7</v>
      </c>
      <c r="F75" s="8">
        <v>12</v>
      </c>
      <c r="G75" s="8">
        <f t="shared" si="13"/>
        <v>84</v>
      </c>
      <c r="H75" s="9">
        <v>26</v>
      </c>
      <c r="I75" s="9">
        <v>30.5</v>
      </c>
      <c r="J75" s="9">
        <v>22.5</v>
      </c>
      <c r="K75" s="22">
        <f t="shared" si="14"/>
        <v>1.7842500000000001E-2</v>
      </c>
      <c r="L75" s="9">
        <v>6.7</v>
      </c>
      <c r="M75" s="9">
        <v>6</v>
      </c>
      <c r="N75" s="11">
        <v>80</v>
      </c>
      <c r="O75" s="8">
        <v>120</v>
      </c>
      <c r="P75" s="11" t="b">
        <v>0</v>
      </c>
      <c r="Q75" s="11" t="b">
        <v>0</v>
      </c>
      <c r="R75" s="11"/>
      <c r="S75" s="25"/>
      <c r="T75" s="25"/>
    </row>
    <row r="76" spans="1:20" ht="13.5">
      <c r="A76" s="7" t="s">
        <v>94</v>
      </c>
      <c r="B76" s="7" t="s">
        <v>166</v>
      </c>
      <c r="C76" s="7" t="s">
        <v>155</v>
      </c>
      <c r="D76" s="8">
        <v>12</v>
      </c>
      <c r="E76" s="8">
        <v>7</v>
      </c>
      <c r="F76" s="8">
        <v>12</v>
      </c>
      <c r="G76" s="8">
        <f t="shared" si="13"/>
        <v>84</v>
      </c>
      <c r="H76" s="9">
        <v>26</v>
      </c>
      <c r="I76" s="9">
        <v>30.5</v>
      </c>
      <c r="J76" s="9">
        <v>22.5</v>
      </c>
      <c r="K76" s="22">
        <f t="shared" si="14"/>
        <v>1.7842500000000001E-2</v>
      </c>
      <c r="L76" s="9">
        <v>6.7</v>
      </c>
      <c r="M76" s="9">
        <v>6</v>
      </c>
      <c r="N76" s="11">
        <v>80</v>
      </c>
      <c r="O76" s="8">
        <v>120</v>
      </c>
      <c r="P76" s="11" t="b">
        <v>0</v>
      </c>
      <c r="Q76" s="11" t="b">
        <v>0</v>
      </c>
      <c r="R76" s="11"/>
      <c r="S76" s="25"/>
      <c r="T76" s="25"/>
    </row>
    <row r="77" spans="1:20" ht="13.5">
      <c r="A77" s="7" t="s">
        <v>94</v>
      </c>
      <c r="B77" s="7" t="s">
        <v>175</v>
      </c>
      <c r="C77" s="7" t="s">
        <v>177</v>
      </c>
      <c r="D77" s="8">
        <v>12</v>
      </c>
      <c r="E77" s="8">
        <v>7</v>
      </c>
      <c r="F77" s="8">
        <v>12</v>
      </c>
      <c r="G77" s="8">
        <f t="shared" ref="G77:G78" si="15">E77*F77</f>
        <v>84</v>
      </c>
      <c r="H77" s="9">
        <v>26</v>
      </c>
      <c r="I77" s="9">
        <v>30.5</v>
      </c>
      <c r="J77" s="9">
        <v>22.5</v>
      </c>
      <c r="K77" s="22">
        <f t="shared" ref="K77:K94" si="16">H77*I77*J77/1000000</f>
        <v>1.7842500000000001E-2</v>
      </c>
      <c r="L77" s="9">
        <v>6.7</v>
      </c>
      <c r="M77" s="9">
        <v>6</v>
      </c>
      <c r="N77" s="11">
        <v>80</v>
      </c>
      <c r="O77" s="8">
        <v>120</v>
      </c>
      <c r="P77" s="11" t="b">
        <v>0</v>
      </c>
      <c r="Q77" s="11" t="b">
        <v>0</v>
      </c>
      <c r="R77" s="11"/>
      <c r="S77" s="25"/>
      <c r="T77" s="25"/>
    </row>
    <row r="78" spans="1:20" ht="13.5">
      <c r="A78" s="7" t="s">
        <v>94</v>
      </c>
      <c r="B78" s="7" t="s">
        <v>176</v>
      </c>
      <c r="C78" s="7" t="s">
        <v>178</v>
      </c>
      <c r="D78" s="8">
        <v>12</v>
      </c>
      <c r="E78" s="8">
        <v>7</v>
      </c>
      <c r="F78" s="8">
        <v>12</v>
      </c>
      <c r="G78" s="8">
        <f t="shared" si="15"/>
        <v>84</v>
      </c>
      <c r="H78" s="9">
        <v>26</v>
      </c>
      <c r="I78" s="9">
        <v>30.5</v>
      </c>
      <c r="J78" s="9">
        <v>22.5</v>
      </c>
      <c r="K78" s="22">
        <f t="shared" si="16"/>
        <v>1.7842500000000001E-2</v>
      </c>
      <c r="L78" s="9">
        <v>6.7</v>
      </c>
      <c r="M78" s="9">
        <v>6</v>
      </c>
      <c r="N78" s="11">
        <v>80</v>
      </c>
      <c r="O78" s="8">
        <v>120</v>
      </c>
      <c r="P78" s="11" t="b">
        <v>0</v>
      </c>
      <c r="Q78" s="11" t="b">
        <v>0</v>
      </c>
      <c r="R78" s="11"/>
      <c r="S78" s="25"/>
      <c r="T78" s="25"/>
    </row>
    <row r="79" spans="1:20" ht="13.5">
      <c r="A79" s="7" t="s">
        <v>179</v>
      </c>
      <c r="B79" s="18" t="s">
        <v>180</v>
      </c>
      <c r="C79" s="7" t="s">
        <v>184</v>
      </c>
      <c r="D79" s="8">
        <v>8</v>
      </c>
      <c r="E79" s="8">
        <v>14</v>
      </c>
      <c r="F79" s="8">
        <v>10</v>
      </c>
      <c r="G79" s="8">
        <f t="shared" ref="G79" si="17">E79*F79</f>
        <v>140</v>
      </c>
      <c r="H79" s="9">
        <v>39</v>
      </c>
      <c r="I79" s="9">
        <v>23</v>
      </c>
      <c r="J79" s="9">
        <v>13.5</v>
      </c>
      <c r="K79" s="22">
        <f t="shared" si="16"/>
        <v>1.21095E-2</v>
      </c>
      <c r="L79" s="9">
        <v>2.1160000000000001</v>
      </c>
      <c r="M79" s="19">
        <v>1.68</v>
      </c>
      <c r="N79" s="11">
        <v>80</v>
      </c>
      <c r="O79" s="8">
        <v>120</v>
      </c>
      <c r="P79" s="11" t="b">
        <v>0</v>
      </c>
      <c r="Q79" s="11" t="b">
        <v>0</v>
      </c>
      <c r="R79" s="11"/>
      <c r="S79" s="25"/>
      <c r="T79" s="25"/>
    </row>
    <row r="80" spans="1:20" ht="13.5">
      <c r="A80" s="7" t="s">
        <v>179</v>
      </c>
      <c r="B80" s="18" t="s">
        <v>181</v>
      </c>
      <c r="C80" s="7" t="s">
        <v>185</v>
      </c>
      <c r="D80" s="8">
        <v>8</v>
      </c>
      <c r="E80" s="8">
        <v>14</v>
      </c>
      <c r="F80" s="8">
        <v>10</v>
      </c>
      <c r="G80" s="8">
        <f t="shared" ref="G80:G87" si="18">E80*F80</f>
        <v>140</v>
      </c>
      <c r="H80" s="9">
        <v>39</v>
      </c>
      <c r="I80" s="9">
        <v>23</v>
      </c>
      <c r="J80" s="9">
        <v>13.5</v>
      </c>
      <c r="K80" s="22">
        <f t="shared" si="16"/>
        <v>1.21095E-2</v>
      </c>
      <c r="L80" s="9">
        <v>2.1160000000000001</v>
      </c>
      <c r="M80" s="19">
        <v>1.68</v>
      </c>
      <c r="N80" s="11">
        <v>80</v>
      </c>
      <c r="O80" s="8">
        <v>120</v>
      </c>
      <c r="P80" s="11" t="b">
        <v>0</v>
      </c>
      <c r="Q80" s="11" t="b">
        <v>0</v>
      </c>
      <c r="R80" s="11"/>
      <c r="S80" s="25"/>
      <c r="T80" s="25"/>
    </row>
    <row r="81" spans="1:20" ht="13.5">
      <c r="A81" s="7" t="s">
        <v>179</v>
      </c>
      <c r="B81" s="18" t="s">
        <v>182</v>
      </c>
      <c r="C81" s="7" t="s">
        <v>186</v>
      </c>
      <c r="D81" s="8">
        <v>8</v>
      </c>
      <c r="E81" s="8">
        <v>14</v>
      </c>
      <c r="F81" s="8">
        <v>10</v>
      </c>
      <c r="G81" s="8">
        <f t="shared" si="18"/>
        <v>140</v>
      </c>
      <c r="H81" s="9">
        <v>39</v>
      </c>
      <c r="I81" s="9">
        <v>23</v>
      </c>
      <c r="J81" s="9">
        <v>13.5</v>
      </c>
      <c r="K81" s="22">
        <f t="shared" si="16"/>
        <v>1.21095E-2</v>
      </c>
      <c r="L81" s="9">
        <v>2.1160000000000001</v>
      </c>
      <c r="M81" s="19">
        <v>1.68</v>
      </c>
      <c r="N81" s="11">
        <v>80</v>
      </c>
      <c r="O81" s="8">
        <v>120</v>
      </c>
      <c r="P81" s="11" t="b">
        <v>0</v>
      </c>
      <c r="Q81" s="11" t="b">
        <v>0</v>
      </c>
      <c r="R81" s="11"/>
      <c r="S81" s="25"/>
      <c r="T81" s="25"/>
    </row>
    <row r="82" spans="1:20" ht="13.5">
      <c r="A82" s="7" t="s">
        <v>179</v>
      </c>
      <c r="B82" s="18" t="s">
        <v>183</v>
      </c>
      <c r="C82" s="7" t="s">
        <v>187</v>
      </c>
      <c r="D82" s="15">
        <v>8</v>
      </c>
      <c r="E82" s="8">
        <v>14</v>
      </c>
      <c r="F82" s="8">
        <v>10</v>
      </c>
      <c r="G82" s="8">
        <f t="shared" si="18"/>
        <v>140</v>
      </c>
      <c r="H82" s="9">
        <v>39</v>
      </c>
      <c r="I82" s="9">
        <v>23</v>
      </c>
      <c r="J82" s="9">
        <v>13.5</v>
      </c>
      <c r="K82" s="22">
        <f t="shared" si="16"/>
        <v>1.21095E-2</v>
      </c>
      <c r="L82" s="21">
        <v>2.1160000000000001</v>
      </c>
      <c r="M82" s="20">
        <v>1.68</v>
      </c>
      <c r="N82" s="11">
        <v>80</v>
      </c>
      <c r="O82" s="8">
        <v>120</v>
      </c>
      <c r="P82" s="11" t="b">
        <v>0</v>
      </c>
      <c r="Q82" s="11" t="b">
        <v>0</v>
      </c>
      <c r="R82" s="11"/>
      <c r="S82" s="25"/>
      <c r="T82" s="25"/>
    </row>
    <row r="83" spans="1:20" ht="13.5">
      <c r="A83" s="7" t="s">
        <v>179</v>
      </c>
      <c r="B83" s="18">
        <v>2404</v>
      </c>
      <c r="C83" s="16" t="s">
        <v>188</v>
      </c>
      <c r="D83" s="15">
        <v>8</v>
      </c>
      <c r="E83" s="8">
        <v>14</v>
      </c>
      <c r="F83" s="8">
        <v>10</v>
      </c>
      <c r="G83" s="8">
        <f t="shared" si="18"/>
        <v>140</v>
      </c>
      <c r="H83" s="9">
        <v>39</v>
      </c>
      <c r="I83" s="9">
        <v>23</v>
      </c>
      <c r="J83" s="9">
        <v>13.5</v>
      </c>
      <c r="K83" s="22">
        <f t="shared" si="16"/>
        <v>1.21095E-2</v>
      </c>
      <c r="L83" s="9">
        <v>2.8359999999999999</v>
      </c>
      <c r="M83" s="19">
        <v>2.4</v>
      </c>
      <c r="N83" s="11">
        <v>80</v>
      </c>
      <c r="O83" s="8">
        <v>120</v>
      </c>
      <c r="P83" s="11" t="b">
        <v>0</v>
      </c>
      <c r="Q83" s="11" t="b">
        <v>0</v>
      </c>
      <c r="R83" s="11"/>
      <c r="S83" s="25"/>
      <c r="T83" s="25"/>
    </row>
    <row r="84" spans="1:20" ht="13.5">
      <c r="A84" s="7" t="s">
        <v>179</v>
      </c>
      <c r="B84" s="18">
        <v>2407</v>
      </c>
      <c r="C84" s="16" t="s">
        <v>189</v>
      </c>
      <c r="D84" s="15">
        <v>8</v>
      </c>
      <c r="E84" s="8">
        <v>14</v>
      </c>
      <c r="F84" s="8">
        <v>10</v>
      </c>
      <c r="G84" s="8">
        <f t="shared" si="18"/>
        <v>140</v>
      </c>
      <c r="H84" s="9">
        <v>39</v>
      </c>
      <c r="I84" s="9">
        <v>23</v>
      </c>
      <c r="J84" s="9">
        <v>13.5</v>
      </c>
      <c r="K84" s="22">
        <f t="shared" si="16"/>
        <v>1.21095E-2</v>
      </c>
      <c r="L84" s="9">
        <v>2.8359999999999999</v>
      </c>
      <c r="M84" s="19">
        <v>2.4</v>
      </c>
      <c r="N84" s="11">
        <v>80</v>
      </c>
      <c r="O84" s="8">
        <v>120</v>
      </c>
      <c r="P84" s="11" t="b">
        <v>0</v>
      </c>
      <c r="Q84" s="11" t="b">
        <v>0</v>
      </c>
      <c r="R84" s="11"/>
      <c r="S84" s="25"/>
      <c r="T84" s="25"/>
    </row>
    <row r="85" spans="1:20" ht="13.5">
      <c r="A85" s="7" t="s">
        <v>179</v>
      </c>
      <c r="B85" s="18">
        <v>2405</v>
      </c>
      <c r="C85" s="16" t="s">
        <v>190</v>
      </c>
      <c r="D85" s="15">
        <v>8</v>
      </c>
      <c r="E85" s="8">
        <v>14</v>
      </c>
      <c r="F85" s="8">
        <v>10</v>
      </c>
      <c r="G85" s="8">
        <f t="shared" si="18"/>
        <v>140</v>
      </c>
      <c r="H85" s="9">
        <v>39</v>
      </c>
      <c r="I85" s="9">
        <v>23</v>
      </c>
      <c r="J85" s="9">
        <v>13.5</v>
      </c>
      <c r="K85" s="22">
        <f t="shared" si="16"/>
        <v>1.21095E-2</v>
      </c>
      <c r="L85" s="9">
        <v>2.8359999999999999</v>
      </c>
      <c r="M85" s="19">
        <v>2.4</v>
      </c>
      <c r="N85" s="11">
        <v>80</v>
      </c>
      <c r="O85" s="8">
        <v>120</v>
      </c>
      <c r="P85" s="11" t="b">
        <v>0</v>
      </c>
      <c r="Q85" s="11" t="b">
        <v>0</v>
      </c>
      <c r="R85" s="11"/>
      <c r="S85" s="25"/>
      <c r="T85" s="25"/>
    </row>
    <row r="86" spans="1:20" ht="13.5">
      <c r="A86" s="7" t="s">
        <v>179</v>
      </c>
      <c r="B86" s="18">
        <v>2406</v>
      </c>
      <c r="C86" s="16" t="s">
        <v>191</v>
      </c>
      <c r="D86" s="15">
        <v>8</v>
      </c>
      <c r="E86" s="8">
        <v>14</v>
      </c>
      <c r="F86" s="8">
        <v>10</v>
      </c>
      <c r="G86" s="8">
        <f t="shared" si="18"/>
        <v>140</v>
      </c>
      <c r="H86" s="9">
        <v>39</v>
      </c>
      <c r="I86" s="9">
        <v>23</v>
      </c>
      <c r="J86" s="9">
        <v>13.5</v>
      </c>
      <c r="K86" s="22">
        <f t="shared" si="16"/>
        <v>1.21095E-2</v>
      </c>
      <c r="L86" s="9">
        <v>2.8359999999999999</v>
      </c>
      <c r="M86" s="19">
        <v>2.4</v>
      </c>
      <c r="N86" s="11">
        <v>80</v>
      </c>
      <c r="O86" s="8">
        <v>120</v>
      </c>
      <c r="P86" s="11" t="b">
        <v>0</v>
      </c>
      <c r="Q86" s="11" t="b">
        <v>0</v>
      </c>
      <c r="R86" s="11"/>
      <c r="S86" s="25"/>
      <c r="T86" s="25"/>
    </row>
    <row r="87" spans="1:20" ht="13.5">
      <c r="A87" s="7" t="s">
        <v>179</v>
      </c>
      <c r="B87" s="18">
        <v>2403</v>
      </c>
      <c r="C87" s="16" t="s">
        <v>192</v>
      </c>
      <c r="D87" s="15">
        <v>8</v>
      </c>
      <c r="E87" s="8">
        <v>14</v>
      </c>
      <c r="F87" s="8">
        <v>10</v>
      </c>
      <c r="G87" s="8">
        <f t="shared" si="18"/>
        <v>140</v>
      </c>
      <c r="H87" s="9">
        <v>39</v>
      </c>
      <c r="I87" s="9">
        <v>23</v>
      </c>
      <c r="J87" s="9">
        <v>13.5</v>
      </c>
      <c r="K87" s="22">
        <f t="shared" si="16"/>
        <v>1.21095E-2</v>
      </c>
      <c r="L87" s="9">
        <v>2.1160000000000001</v>
      </c>
      <c r="M87" s="19">
        <v>1.68</v>
      </c>
      <c r="N87" s="11">
        <v>80</v>
      </c>
      <c r="O87" s="8">
        <v>120</v>
      </c>
      <c r="P87" s="11" t="b">
        <v>0</v>
      </c>
      <c r="Q87" s="11" t="b">
        <v>0</v>
      </c>
      <c r="R87" s="11"/>
      <c r="S87" s="25"/>
      <c r="T87" s="25"/>
    </row>
    <row r="88" spans="1:20" ht="13.5">
      <c r="A88" s="7" t="s">
        <v>179</v>
      </c>
      <c r="B88" s="18">
        <v>2402</v>
      </c>
      <c r="C88" s="16" t="s">
        <v>193</v>
      </c>
      <c r="D88" s="15">
        <v>8</v>
      </c>
      <c r="E88" s="8">
        <v>14</v>
      </c>
      <c r="F88" s="8">
        <v>10</v>
      </c>
      <c r="G88" s="8">
        <f t="shared" ref="G88:G91" si="19">E88*F88</f>
        <v>140</v>
      </c>
      <c r="H88" s="9">
        <v>39</v>
      </c>
      <c r="I88" s="9">
        <v>23</v>
      </c>
      <c r="J88" s="9">
        <v>13.5</v>
      </c>
      <c r="K88" s="22">
        <f t="shared" si="16"/>
        <v>1.21095E-2</v>
      </c>
      <c r="L88" s="9">
        <v>2.1160000000000001</v>
      </c>
      <c r="M88" s="19">
        <v>1.68</v>
      </c>
      <c r="N88" s="11">
        <v>80</v>
      </c>
      <c r="O88" s="8">
        <v>120</v>
      </c>
      <c r="P88" s="11" t="b">
        <v>0</v>
      </c>
      <c r="Q88" s="11" t="b">
        <v>0</v>
      </c>
      <c r="R88" s="11"/>
      <c r="S88" s="25"/>
      <c r="T88" s="25"/>
    </row>
    <row r="89" spans="1:20" ht="13.5">
      <c r="A89" s="7" t="s">
        <v>179</v>
      </c>
      <c r="B89" s="18">
        <v>2401</v>
      </c>
      <c r="C89" s="16" t="s">
        <v>194</v>
      </c>
      <c r="D89" s="15">
        <v>8</v>
      </c>
      <c r="E89" s="8">
        <v>14</v>
      </c>
      <c r="F89" s="8">
        <v>10</v>
      </c>
      <c r="G89" s="8">
        <f t="shared" si="19"/>
        <v>140</v>
      </c>
      <c r="H89" s="9">
        <v>39</v>
      </c>
      <c r="I89" s="9">
        <v>23</v>
      </c>
      <c r="J89" s="9">
        <v>13.5</v>
      </c>
      <c r="K89" s="22">
        <f t="shared" si="16"/>
        <v>1.21095E-2</v>
      </c>
      <c r="L89" s="9">
        <v>2.1160000000000001</v>
      </c>
      <c r="M89" s="19">
        <v>1.68</v>
      </c>
      <c r="N89" s="11">
        <v>80</v>
      </c>
      <c r="O89" s="8">
        <v>120</v>
      </c>
      <c r="P89" s="11" t="b">
        <v>0</v>
      </c>
      <c r="Q89" s="11" t="b">
        <v>0</v>
      </c>
      <c r="R89" s="11"/>
      <c r="S89" s="25"/>
      <c r="T89" s="25"/>
    </row>
    <row r="90" spans="1:20" ht="13.5">
      <c r="A90" s="7" t="s">
        <v>179</v>
      </c>
      <c r="B90" s="17">
        <v>2400</v>
      </c>
      <c r="C90" s="16" t="s">
        <v>195</v>
      </c>
      <c r="D90" s="15">
        <v>8</v>
      </c>
      <c r="E90" s="8">
        <v>14</v>
      </c>
      <c r="F90" s="8">
        <v>10</v>
      </c>
      <c r="G90" s="8">
        <f t="shared" si="19"/>
        <v>140</v>
      </c>
      <c r="H90" s="9">
        <v>39</v>
      </c>
      <c r="I90" s="9">
        <v>23</v>
      </c>
      <c r="J90" s="9">
        <v>13.5</v>
      </c>
      <c r="K90" s="22">
        <f t="shared" si="16"/>
        <v>1.21095E-2</v>
      </c>
      <c r="L90" s="9">
        <v>2.1160000000000001</v>
      </c>
      <c r="M90" s="19">
        <v>1.68</v>
      </c>
      <c r="N90" s="11">
        <v>80</v>
      </c>
      <c r="O90" s="8">
        <v>120</v>
      </c>
      <c r="P90" s="11" t="b">
        <v>0</v>
      </c>
      <c r="Q90" s="11" t="b">
        <v>0</v>
      </c>
      <c r="R90" s="11"/>
      <c r="S90" s="25"/>
      <c r="T90" s="25"/>
    </row>
    <row r="91" spans="1:20" ht="13.5">
      <c r="A91" s="17" t="s">
        <v>5</v>
      </c>
      <c r="B91" s="16" t="s">
        <v>13</v>
      </c>
      <c r="C91" s="16" t="s">
        <v>196</v>
      </c>
      <c r="D91" s="15">
        <v>6</v>
      </c>
      <c r="E91" s="15">
        <v>8</v>
      </c>
      <c r="F91" s="15">
        <v>20</v>
      </c>
      <c r="G91" s="15">
        <f t="shared" si="19"/>
        <v>160</v>
      </c>
      <c r="H91" s="9">
        <v>29.9</v>
      </c>
      <c r="I91" s="21">
        <v>19.899999999999999</v>
      </c>
      <c r="J91" s="23">
        <v>26.2</v>
      </c>
      <c r="K91" s="22">
        <f t="shared" si="16"/>
        <v>1.5589261999999998E-2</v>
      </c>
      <c r="L91" s="9">
        <v>3.5</v>
      </c>
      <c r="M91" s="9">
        <v>3</v>
      </c>
      <c r="N91" s="11">
        <v>100</v>
      </c>
      <c r="O91" s="8">
        <v>120</v>
      </c>
      <c r="P91" s="11" t="b">
        <v>1</v>
      </c>
      <c r="Q91" s="11" t="b">
        <v>1</v>
      </c>
      <c r="R91" s="11">
        <v>19021910</v>
      </c>
      <c r="S91" s="25"/>
      <c r="T91" s="25"/>
    </row>
    <row r="92" spans="1:20" ht="13.5">
      <c r="A92" s="17" t="s">
        <v>5</v>
      </c>
      <c r="B92" s="16" t="s">
        <v>14</v>
      </c>
      <c r="C92" s="16" t="s">
        <v>197</v>
      </c>
      <c r="D92" s="15">
        <v>6</v>
      </c>
      <c r="E92" s="15">
        <v>8</v>
      </c>
      <c r="F92" s="15">
        <v>20</v>
      </c>
      <c r="G92" s="15">
        <f t="shared" ref="G92:G94" si="20">E92*F92</f>
        <v>160</v>
      </c>
      <c r="H92" s="9">
        <v>29.9</v>
      </c>
      <c r="I92" s="21">
        <v>19.899999999999999</v>
      </c>
      <c r="J92" s="23">
        <v>26.2</v>
      </c>
      <c r="K92" s="22">
        <f t="shared" si="16"/>
        <v>1.5589261999999998E-2</v>
      </c>
      <c r="L92" s="9">
        <v>3.5</v>
      </c>
      <c r="M92" s="9">
        <v>3</v>
      </c>
      <c r="N92" s="11">
        <v>100</v>
      </c>
      <c r="O92" s="8">
        <v>120</v>
      </c>
      <c r="P92" s="11" t="b">
        <v>1</v>
      </c>
      <c r="Q92" s="11" t="b">
        <v>1</v>
      </c>
      <c r="R92" s="11">
        <v>19021910</v>
      </c>
      <c r="S92" s="25"/>
      <c r="T92" s="25"/>
    </row>
    <row r="93" spans="1:20" ht="13.5">
      <c r="A93" s="17" t="s">
        <v>5</v>
      </c>
      <c r="B93" s="16" t="s">
        <v>15</v>
      </c>
      <c r="C93" s="16" t="s">
        <v>198</v>
      </c>
      <c r="D93" s="15">
        <v>6</v>
      </c>
      <c r="E93" s="15">
        <v>8</v>
      </c>
      <c r="F93" s="15">
        <v>20</v>
      </c>
      <c r="G93" s="15">
        <f t="shared" si="20"/>
        <v>160</v>
      </c>
      <c r="H93" s="9">
        <v>29.9</v>
      </c>
      <c r="I93" s="21">
        <v>19.899999999999999</v>
      </c>
      <c r="J93" s="23">
        <v>26.2</v>
      </c>
      <c r="K93" s="22">
        <f t="shared" si="16"/>
        <v>1.5589261999999998E-2</v>
      </c>
      <c r="L93" s="9">
        <v>3.5</v>
      </c>
      <c r="M93" s="9">
        <v>3</v>
      </c>
      <c r="N93" s="11">
        <v>100</v>
      </c>
      <c r="O93" s="8">
        <v>120</v>
      </c>
      <c r="P93" s="11" t="b">
        <v>1</v>
      </c>
      <c r="Q93" s="11" t="b">
        <v>1</v>
      </c>
      <c r="R93" s="11">
        <v>19021910</v>
      </c>
      <c r="S93" s="25"/>
      <c r="T93" s="25"/>
    </row>
    <row r="94" spans="1:20" ht="13.5">
      <c r="A94" s="17" t="s">
        <v>5</v>
      </c>
      <c r="B94" s="16" t="s">
        <v>199</v>
      </c>
      <c r="C94" s="16" t="s">
        <v>203</v>
      </c>
      <c r="D94" s="15">
        <v>10</v>
      </c>
      <c r="E94" s="15">
        <v>8</v>
      </c>
      <c r="F94" s="15">
        <v>20</v>
      </c>
      <c r="G94" s="15">
        <f t="shared" si="20"/>
        <v>160</v>
      </c>
      <c r="H94" s="9">
        <v>26.2</v>
      </c>
      <c r="I94" s="21">
        <v>29.8</v>
      </c>
      <c r="J94" s="9">
        <v>19.899999999999999</v>
      </c>
      <c r="K94" s="22">
        <f t="shared" si="16"/>
        <v>1.5537123999999998E-2</v>
      </c>
      <c r="L94" s="9">
        <v>2.8</v>
      </c>
      <c r="M94" s="9">
        <v>2.5</v>
      </c>
      <c r="N94" s="11">
        <v>100</v>
      </c>
      <c r="O94" s="8">
        <v>120</v>
      </c>
      <c r="P94" s="11" t="b">
        <v>1</v>
      </c>
      <c r="Q94" s="11" t="b">
        <v>1</v>
      </c>
      <c r="R94" s="11">
        <v>19021910</v>
      </c>
      <c r="S94" s="25"/>
      <c r="T94" s="25"/>
    </row>
    <row r="95" spans="1:20" ht="13.5">
      <c r="A95" s="17" t="s">
        <v>5</v>
      </c>
      <c r="B95" s="16" t="s">
        <v>200</v>
      </c>
      <c r="C95" s="16" t="s">
        <v>204</v>
      </c>
      <c r="D95" s="15">
        <v>10</v>
      </c>
      <c r="E95" s="15">
        <v>8</v>
      </c>
      <c r="F95" s="15">
        <v>20</v>
      </c>
      <c r="G95" s="15">
        <f t="shared" ref="G95:G102" si="21">E95*F95</f>
        <v>160</v>
      </c>
      <c r="H95" s="9">
        <v>26.2</v>
      </c>
      <c r="I95" s="21">
        <v>29.8</v>
      </c>
      <c r="J95" s="9">
        <v>19.899999999999999</v>
      </c>
      <c r="K95" s="22">
        <f t="shared" ref="K95:K102" si="22">H95*I95*J95/1000000</f>
        <v>1.5537123999999998E-2</v>
      </c>
      <c r="L95" s="9">
        <v>2.8</v>
      </c>
      <c r="M95" s="9">
        <v>2.5</v>
      </c>
      <c r="N95" s="11">
        <v>100</v>
      </c>
      <c r="O95" s="8">
        <v>120</v>
      </c>
      <c r="P95" s="11" t="b">
        <v>1</v>
      </c>
      <c r="Q95" s="11" t="b">
        <v>1</v>
      </c>
      <c r="R95" s="11">
        <v>19021910</v>
      </c>
      <c r="S95" s="25"/>
      <c r="T95" s="25"/>
    </row>
    <row r="96" spans="1:20" ht="13.5">
      <c r="A96" s="17" t="s">
        <v>5</v>
      </c>
      <c r="B96" s="16" t="s">
        <v>201</v>
      </c>
      <c r="C96" s="16" t="s">
        <v>205</v>
      </c>
      <c r="D96" s="15">
        <v>10</v>
      </c>
      <c r="E96" s="15">
        <v>8</v>
      </c>
      <c r="F96" s="15">
        <v>20</v>
      </c>
      <c r="G96" s="15">
        <f t="shared" si="21"/>
        <v>160</v>
      </c>
      <c r="H96" s="9">
        <v>26.2</v>
      </c>
      <c r="I96" s="21">
        <v>29.8</v>
      </c>
      <c r="J96" s="9">
        <v>19.899999999999999</v>
      </c>
      <c r="K96" s="22">
        <f t="shared" si="22"/>
        <v>1.5537123999999998E-2</v>
      </c>
      <c r="L96" s="9">
        <v>2.8</v>
      </c>
      <c r="M96" s="9">
        <v>2.5</v>
      </c>
      <c r="N96" s="11">
        <v>100</v>
      </c>
      <c r="O96" s="8">
        <v>120</v>
      </c>
      <c r="P96" s="11" t="b">
        <v>1</v>
      </c>
      <c r="Q96" s="11" t="b">
        <v>1</v>
      </c>
      <c r="R96" s="11">
        <v>19021910</v>
      </c>
      <c r="S96" s="25"/>
      <c r="T96" s="25"/>
    </row>
    <row r="97" spans="1:20" ht="13.5">
      <c r="A97" s="17" t="s">
        <v>5</v>
      </c>
      <c r="B97" s="16" t="s">
        <v>202</v>
      </c>
      <c r="C97" s="16" t="s">
        <v>206</v>
      </c>
      <c r="D97" s="15">
        <v>10</v>
      </c>
      <c r="E97" s="15">
        <v>8</v>
      </c>
      <c r="F97" s="15">
        <v>20</v>
      </c>
      <c r="G97" s="15">
        <f t="shared" si="21"/>
        <v>160</v>
      </c>
      <c r="H97" s="9">
        <v>26.2</v>
      </c>
      <c r="I97" s="21">
        <v>29.8</v>
      </c>
      <c r="J97" s="9">
        <v>19.899999999999999</v>
      </c>
      <c r="K97" s="22">
        <f t="shared" si="22"/>
        <v>1.5537123999999998E-2</v>
      </c>
      <c r="L97" s="9">
        <v>2.8</v>
      </c>
      <c r="M97" s="9">
        <v>2.5</v>
      </c>
      <c r="N97" s="11">
        <v>100</v>
      </c>
      <c r="O97" s="8">
        <v>120</v>
      </c>
      <c r="P97" s="11" t="b">
        <v>1</v>
      </c>
      <c r="Q97" s="11" t="b">
        <v>1</v>
      </c>
      <c r="R97" s="11">
        <v>19021910</v>
      </c>
      <c r="S97" s="25"/>
      <c r="T97" s="25"/>
    </row>
    <row r="98" spans="1:20" ht="13.5">
      <c r="A98" s="17" t="s">
        <v>5</v>
      </c>
      <c r="B98" s="16" t="s">
        <v>207</v>
      </c>
      <c r="C98" s="16" t="s">
        <v>210</v>
      </c>
      <c r="D98" s="15">
        <v>5</v>
      </c>
      <c r="E98" s="15">
        <v>8</v>
      </c>
      <c r="F98" s="15">
        <v>20</v>
      </c>
      <c r="G98" s="15">
        <f t="shared" si="21"/>
        <v>160</v>
      </c>
      <c r="H98" s="9">
        <v>19.899999999999999</v>
      </c>
      <c r="I98" s="21">
        <v>29.9</v>
      </c>
      <c r="J98" s="9">
        <v>26.2</v>
      </c>
      <c r="K98" s="22">
        <f t="shared" si="22"/>
        <v>1.5589261999999998E-2</v>
      </c>
      <c r="L98" s="9">
        <v>1.75</v>
      </c>
      <c r="M98" s="9">
        <v>1.25</v>
      </c>
      <c r="N98" s="11">
        <v>100</v>
      </c>
      <c r="O98" s="8">
        <v>120</v>
      </c>
      <c r="P98" s="11" t="b">
        <v>1</v>
      </c>
      <c r="Q98" s="11" t="b">
        <v>1</v>
      </c>
      <c r="R98" s="11">
        <v>19021910</v>
      </c>
      <c r="S98" s="25"/>
      <c r="T98" s="25"/>
    </row>
    <row r="99" spans="1:20" ht="13.5">
      <c r="A99" s="17" t="s">
        <v>5</v>
      </c>
      <c r="B99" s="16" t="s">
        <v>208</v>
      </c>
      <c r="C99" s="16" t="s">
        <v>211</v>
      </c>
      <c r="D99" s="15">
        <v>5</v>
      </c>
      <c r="E99" s="15">
        <v>8</v>
      </c>
      <c r="F99" s="15">
        <v>20</v>
      </c>
      <c r="G99" s="15">
        <f t="shared" si="21"/>
        <v>160</v>
      </c>
      <c r="H99" s="9">
        <v>19.899999999999999</v>
      </c>
      <c r="I99" s="21">
        <v>29.9</v>
      </c>
      <c r="J99" s="9">
        <v>26.2</v>
      </c>
      <c r="K99" s="22">
        <f t="shared" si="22"/>
        <v>1.5589261999999998E-2</v>
      </c>
      <c r="L99" s="9">
        <v>1.75</v>
      </c>
      <c r="M99" s="9">
        <v>1.25</v>
      </c>
      <c r="N99" s="11">
        <v>100</v>
      </c>
      <c r="O99" s="8">
        <v>120</v>
      </c>
      <c r="P99" s="11" t="b">
        <v>1</v>
      </c>
      <c r="Q99" s="11" t="b">
        <v>1</v>
      </c>
      <c r="R99" s="11">
        <v>19021910</v>
      </c>
      <c r="S99" s="25"/>
      <c r="T99" s="25"/>
    </row>
    <row r="100" spans="1:20" ht="13.5">
      <c r="A100" s="17" t="s">
        <v>5</v>
      </c>
      <c r="B100" s="16" t="s">
        <v>209</v>
      </c>
      <c r="C100" s="16" t="s">
        <v>212</v>
      </c>
      <c r="D100" s="15">
        <v>5</v>
      </c>
      <c r="E100" s="15">
        <v>8</v>
      </c>
      <c r="F100" s="15">
        <v>20</v>
      </c>
      <c r="G100" s="15">
        <f t="shared" si="21"/>
        <v>160</v>
      </c>
      <c r="H100" s="9">
        <v>19.899999999999999</v>
      </c>
      <c r="I100" s="21">
        <v>29.9</v>
      </c>
      <c r="J100" s="9">
        <v>26.2</v>
      </c>
      <c r="K100" s="22">
        <f t="shared" si="22"/>
        <v>1.5589261999999998E-2</v>
      </c>
      <c r="L100" s="9">
        <v>1.75</v>
      </c>
      <c r="M100" s="9">
        <v>1.25</v>
      </c>
      <c r="N100" s="11">
        <v>100</v>
      </c>
      <c r="O100" s="8">
        <v>120</v>
      </c>
      <c r="P100" s="11" t="b">
        <v>1</v>
      </c>
      <c r="Q100" s="11" t="b">
        <v>1</v>
      </c>
      <c r="R100" s="11">
        <v>19021910</v>
      </c>
      <c r="S100" s="25"/>
      <c r="T100" s="25"/>
    </row>
    <row r="101" spans="1:20" ht="13.5">
      <c r="A101" s="17" t="s">
        <v>5</v>
      </c>
      <c r="B101" s="16" t="s">
        <v>213</v>
      </c>
      <c r="C101" s="16" t="s">
        <v>214</v>
      </c>
      <c r="D101" s="15">
        <v>6</v>
      </c>
      <c r="E101" s="15">
        <v>8</v>
      </c>
      <c r="F101" s="15">
        <v>20</v>
      </c>
      <c r="G101" s="15">
        <f t="shared" si="21"/>
        <v>160</v>
      </c>
      <c r="H101" s="9">
        <v>19.899999999999999</v>
      </c>
      <c r="I101" s="21">
        <v>29.9</v>
      </c>
      <c r="J101" s="9">
        <v>26.2</v>
      </c>
      <c r="K101" s="22">
        <f t="shared" si="22"/>
        <v>1.5589261999999998E-2</v>
      </c>
      <c r="L101" s="9">
        <v>1.9</v>
      </c>
      <c r="M101" s="9">
        <v>1.5</v>
      </c>
      <c r="N101" s="11">
        <v>100</v>
      </c>
      <c r="O101" s="8">
        <v>120</v>
      </c>
      <c r="P101" s="11" t="b">
        <v>1</v>
      </c>
      <c r="Q101" s="11" t="b">
        <v>1</v>
      </c>
      <c r="R101" s="11">
        <v>19021910</v>
      </c>
      <c r="S101" s="25"/>
      <c r="T101" s="25"/>
    </row>
    <row r="102" spans="1:20" ht="13.5">
      <c r="A102" s="16" t="s">
        <v>216</v>
      </c>
      <c r="B102" s="16" t="s">
        <v>215</v>
      </c>
      <c r="C102" s="16" t="s">
        <v>217</v>
      </c>
      <c r="D102" s="15">
        <v>12</v>
      </c>
      <c r="E102" s="15">
        <v>8</v>
      </c>
      <c r="F102" s="15">
        <v>8</v>
      </c>
      <c r="G102" s="15">
        <f t="shared" si="21"/>
        <v>64</v>
      </c>
      <c r="H102" s="9">
        <v>29.5</v>
      </c>
      <c r="I102" s="9">
        <v>40</v>
      </c>
      <c r="J102" s="9">
        <v>23</v>
      </c>
      <c r="K102" s="22">
        <f t="shared" si="22"/>
        <v>2.7140000000000001E-2</v>
      </c>
      <c r="L102" s="9">
        <v>6.6</v>
      </c>
      <c r="M102" s="9">
        <v>6</v>
      </c>
      <c r="N102" s="15">
        <v>80</v>
      </c>
      <c r="O102" s="8">
        <v>120</v>
      </c>
      <c r="P102" s="11" t="b">
        <v>1</v>
      </c>
      <c r="Q102" s="11" t="b">
        <v>1</v>
      </c>
      <c r="R102" s="11">
        <v>19023010</v>
      </c>
      <c r="S102" s="25"/>
      <c r="T102" s="25"/>
    </row>
  </sheetData>
  <autoFilter ref="A1:T102" xr:uid="{00000000-0001-0000-0000-000000000000}"/>
  <printOptions horizontalCentered="1"/>
  <pageMargins left="0.11811023622047245" right="0.11811023622047245" top="7.874015748031496E-2" bottom="0.39370078740157483" header="0" footer="0.19685039370078741"/>
  <pageSetup paperSize="9" scale="42" fitToHeight="0" orientation="portrait" r:id="rId1"/>
  <headerFooter>
    <oddFooter>&amp;C&amp;P&amp;R&amp;D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2026 APR</vt:lpstr>
      <vt:lpstr>'2026 APR'!Print_Area</vt:lpstr>
      <vt:lpstr>'2026 APR'!Print_Titles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Famor-pc</dc:creator>
  <cp:lastModifiedBy>Tommaso Barsotti</cp:lastModifiedBy>
  <cp:lastPrinted>2024-02-28T09:34:58Z</cp:lastPrinted>
  <dcterms:created xsi:type="dcterms:W3CDTF">2018-01-05T08:50:00Z</dcterms:created>
  <dcterms:modified xsi:type="dcterms:W3CDTF">2026-04-24T17:04:01Z</dcterms:modified>
</cp:coreProperties>
</file>