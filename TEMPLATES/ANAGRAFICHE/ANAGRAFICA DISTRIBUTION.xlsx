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etti\Tjx operatività\TEMPLATES\ANAGRAFICHE\"/>
    </mc:Choice>
  </mc:AlternateContent>
  <xr:revisionPtr revIDLastSave="0" documentId="13_ncr:1_{35F40970-1CB3-41D7-931A-69E3BAD11F86}" xr6:coauthVersionLast="47" xr6:coauthVersionMax="47" xr10:uidLastSave="{00000000-0000-0000-0000-000000000000}"/>
  <bookViews>
    <workbookView xWindow="-120" yWindow="-120" windowWidth="29040" windowHeight="15720" xr2:uid="{C1A6D3E4-C6F1-4D25-92D3-03060C33479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T12" i="1"/>
  <c r="S13" i="1"/>
  <c r="T13" i="1"/>
  <c r="S14" i="1"/>
  <c r="T14" i="1"/>
  <c r="S15" i="1"/>
  <c r="T15" i="1"/>
  <c r="S16" i="1"/>
  <c r="T16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N13" i="1"/>
  <c r="N14" i="1"/>
  <c r="N15" i="1"/>
  <c r="N16" i="1"/>
  <c r="N12" i="1"/>
  <c r="M13" i="1"/>
  <c r="M12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K13" i="1"/>
  <c r="K14" i="1"/>
  <c r="K15" i="1"/>
  <c r="K16" i="1"/>
  <c r="K12" i="1"/>
</calcChain>
</file>

<file path=xl/sharedStrings.xml><?xml version="1.0" encoding="utf-8"?>
<sst xmlns="http://schemas.openxmlformats.org/spreadsheetml/2006/main" count="275" uniqueCount="107">
  <si>
    <t>T.J.MAXX</t>
  </si>
  <si>
    <t>MARSHALLS</t>
  </si>
  <si>
    <t>HOME GOODS</t>
  </si>
  <si>
    <t>PO#10</t>
  </si>
  <si>
    <t>PO#30</t>
  </si>
  <si>
    <t>PO#40</t>
  </si>
  <si>
    <t>PO#60</t>
  </si>
  <si>
    <t>PO#70</t>
  </si>
  <si>
    <t>PO#80</t>
  </si>
  <si>
    <t>PO#01</t>
  </si>
  <si>
    <t>PO#04</t>
  </si>
  <si>
    <t>PO#06</t>
  </si>
  <si>
    <t>PO#07</t>
  </si>
  <si>
    <t>PO#08</t>
  </si>
  <si>
    <t>PO#20</t>
  </si>
  <si>
    <t>PO#50</t>
  </si>
  <si>
    <t>PO#90</t>
  </si>
  <si>
    <t>CATENA</t>
  </si>
  <si>
    <t>PREFISSO PO</t>
  </si>
  <si>
    <t>CAN MARSH</t>
  </si>
  <si>
    <t>HOME SENSE</t>
  </si>
  <si>
    <t>WINNERS</t>
  </si>
  <si>
    <t>6803 SOUTH PALO VERDE RD</t>
  </si>
  <si>
    <t>TUCSON, AZ</t>
  </si>
  <si>
    <t>50 BRYLA STREET</t>
  </si>
  <si>
    <t>CARTERET, NJ</t>
  </si>
  <si>
    <t>07008</t>
  </si>
  <si>
    <t>125 LOGISTICS CENTER PKWY</t>
  </si>
  <si>
    <t>JEFFERSON, GA</t>
  </si>
  <si>
    <t>1415 BLUE HILL AVE</t>
  </si>
  <si>
    <t>BLOOMFIELD, CT</t>
  </si>
  <si>
    <t>06002</t>
  </si>
  <si>
    <t>2900 ELLSWORTH BAILEY RD</t>
  </si>
  <si>
    <t>LORDSTOWN, OH</t>
  </si>
  <si>
    <t>850 NORTHFIELD DR</t>
  </si>
  <si>
    <t>BROWNSBURG, IN</t>
  </si>
  <si>
    <t>8201 OAK GROVE ROAD</t>
  </si>
  <si>
    <t>FORT WORTH, TX</t>
  </si>
  <si>
    <t>PO# 20</t>
  </si>
  <si>
    <t>PO# 25</t>
  </si>
  <si>
    <t>3900 GLOBAL REACH DR</t>
  </si>
  <si>
    <t>EL PASO, TX</t>
  </si>
  <si>
    <t>701 N. MAIN STREET</t>
  </si>
  <si>
    <t>BRIDGEWATER, VA</t>
  </si>
  <si>
    <t>2300 MILLER ROAD</t>
  </si>
  <si>
    <t>DECATUR, GA</t>
  </si>
  <si>
    <t>83 COMMERCE WAY</t>
  </si>
  <si>
    <t>WOBURN, MA</t>
  </si>
  <si>
    <t>11650 FM 1937</t>
  </si>
  <si>
    <t>SAN ANTONIO, TX</t>
  </si>
  <si>
    <t>14300 CAROWINDS BLVD.</t>
  </si>
  <si>
    <t>CHARLOTTE, NC</t>
  </si>
  <si>
    <t>135 GODDARD MEMORIAL DR</t>
  </si>
  <si>
    <t>WORCESTER, MA</t>
  </si>
  <si>
    <t>01603</t>
  </si>
  <si>
    <t>3301 MAXX ROAD</t>
  </si>
  <si>
    <t>EVANSVILLE, IN</t>
  </si>
  <si>
    <t>4100 EASTLONE MOUNTAIN RD</t>
  </si>
  <si>
    <t>NORTH LAS VEGAS, NV</t>
  </si>
  <si>
    <t>4000 OLDFIELD BLVD</t>
  </si>
  <si>
    <t>PITTSTON, PA</t>
  </si>
  <si>
    <t>3000 S. 55TH AVENUE</t>
  </si>
  <si>
    <t>PHOENIX, AZ</t>
  </si>
  <si>
    <t>401 WESTMONT DR.</t>
  </si>
  <si>
    <t>SAN PEDRO, CA</t>
  </si>
  <si>
    <t>WINNERS MERCHANTS INTERNATIONAL LP</t>
  </si>
  <si>
    <t>L4V 1B8 MISSISSAUGA</t>
  </si>
  <si>
    <t>3185 AMERICAN DRIVE #892</t>
  </si>
  <si>
    <t>ONTARIO, CANADA</t>
  </si>
  <si>
    <t>GENERAL_DIVISION_NAME</t>
  </si>
  <si>
    <t>GENERAL_ADDRESS_LINE_1</t>
  </si>
  <si>
    <t>GENERAL_ADDRESS_LINE_2</t>
  </si>
  <si>
    <t xml:space="preserve">Newton Buying Co., </t>
  </si>
  <si>
    <t>770, Cochituate Road</t>
  </si>
  <si>
    <t>Framingham, MA 01701</t>
  </si>
  <si>
    <t>U.S.A.</t>
  </si>
  <si>
    <t>SIERRA</t>
  </si>
  <si>
    <t>GENERAL_ADDRESS_LINE_3</t>
  </si>
  <si>
    <t>Sierra Trading Post Fulfillment Center</t>
  </si>
  <si>
    <t>Sierra Trading Post, Inc.</t>
  </si>
  <si>
    <t>5121 Campstool Rd.</t>
  </si>
  <si>
    <t>Cheyenne, WY 82007</t>
  </si>
  <si>
    <t>DESTINAZIONE_MERCE_NAME</t>
  </si>
  <si>
    <t>DESTINAZIONE_MERCE_ADDRESS_LINE_1</t>
  </si>
  <si>
    <t>DESTINAZIONE_MERCE_ADDRESS_LINE_2</t>
  </si>
  <si>
    <t>DESTINAZIONE_MERCE_ADDRESS_LINE_3</t>
  </si>
  <si>
    <t>DC_NAME</t>
  </si>
  <si>
    <t>DC_ADDRESS_LINE_1</t>
  </si>
  <si>
    <t>DC_ADDRESS_LINE_2</t>
  </si>
  <si>
    <t>DC_ADDRESS_LINE_3</t>
  </si>
  <si>
    <t>DC_NUMBER</t>
  </si>
  <si>
    <t>DESTINAZIONE_MERCE_DC_NUMBER</t>
  </si>
  <si>
    <t xml:space="preserve">Home Goods Inc., </t>
  </si>
  <si>
    <t>c/o Performance Team Triangle Network</t>
  </si>
  <si>
    <t>SAN PEDRO, CA 90731</t>
  </si>
  <si>
    <t>3186 AMERICAN DRIVE #892</t>
  </si>
  <si>
    <t>3187 AMERICAN DRIVE #892</t>
  </si>
  <si>
    <t xml:space="preserve">60 STANDISH COURT </t>
  </si>
  <si>
    <t>L5R 0G1  MISSISSAUGA</t>
  </si>
  <si>
    <t xml:space="preserve">ONTARIO, CANADA </t>
  </si>
  <si>
    <t xml:space="preserve">61 STANDISH COURT </t>
  </si>
  <si>
    <t xml:space="preserve">62 STANDISH COURT </t>
  </si>
  <si>
    <t xml:space="preserve">Marshalls of Ma., Inc. </t>
  </si>
  <si>
    <t>Framingham, MA 01697</t>
  </si>
  <si>
    <t>Framingham, MA 01698</t>
  </si>
  <si>
    <t>Framingham, MA 01699</t>
  </si>
  <si>
    <t>Framingham, MA 01700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</si>
</sst>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11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48F8-E1B6-4F95-8664-BBD0294A3DBA}">
  <dimension ref="A1:X17"/>
  <sheetViews>
    <sheetView tabSelected="1" workbookViewId="0">
      <pane xSplit="1" topLeftCell="B1" activePane="topRight" state="frozen"/>
      <selection pane="topRight" activeCell="B21" sqref="B21"/>
    </sheetView>
  </sheetViews>
  <sheetFormatPr defaultRowHeight="15" x14ac:dyDescent="0.25"/>
  <cols>
    <col min="1" max="1" width="36.7109375" bestFit="1" customWidth="1"/>
    <col min="2" max="8" width="27.85546875" customWidth="1"/>
    <col min="9" max="9" width="21.5703125" bestFit="1" customWidth="1"/>
    <col min="10" max="10" width="18.42578125" bestFit="1" customWidth="1"/>
    <col min="11" max="11" width="17" bestFit="1" customWidth="1"/>
    <col min="12" max="12" width="18" bestFit="1" customWidth="1"/>
    <col min="13" max="13" width="28.28515625" bestFit="1" customWidth="1"/>
    <col min="14" max="14" width="25.85546875" bestFit="1" customWidth="1"/>
    <col min="15" max="15" width="15.42578125" bestFit="1" customWidth="1"/>
    <col min="16" max="16" width="26.42578125" bestFit="1" customWidth="1"/>
    <col min="17" max="17" width="17.7109375" bestFit="1" customWidth="1"/>
    <col min="18" max="18" width="25.140625" bestFit="1" customWidth="1"/>
    <col min="19" max="19" width="18.5703125" bestFit="1" customWidth="1"/>
    <col min="20" max="20" width="21.42578125" bestFit="1" customWidth="1"/>
    <col min="21" max="24" width="38.42578125" bestFit="1" customWidth="1"/>
  </cols>
  <sheetData>
    <row r="1" spans="1:24" s="16" customFormat="1" x14ac:dyDescent="0.25">
      <c r="A1" s="11" t="s">
        <v>17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3" t="s">
        <v>1</v>
      </c>
      <c r="I1" s="13" t="s">
        <v>1</v>
      </c>
      <c r="J1" s="13" t="s">
        <v>1</v>
      </c>
      <c r="K1" s="13" t="s">
        <v>1</v>
      </c>
      <c r="L1" s="13" t="s">
        <v>1</v>
      </c>
      <c r="M1" s="14" t="s">
        <v>2</v>
      </c>
      <c r="N1" s="14" t="s">
        <v>2</v>
      </c>
      <c r="O1" s="14" t="s">
        <v>2</v>
      </c>
      <c r="P1" s="14" t="s">
        <v>2</v>
      </c>
      <c r="Q1" s="14" t="s">
        <v>2</v>
      </c>
      <c r="R1" s="14" t="s">
        <v>2</v>
      </c>
      <c r="S1" s="14" t="s">
        <v>2</v>
      </c>
      <c r="T1" s="14" t="s">
        <v>2</v>
      </c>
      <c r="U1" s="15" t="s">
        <v>19</v>
      </c>
      <c r="V1" s="15" t="s">
        <v>20</v>
      </c>
      <c r="W1" s="15" t="s">
        <v>21</v>
      </c>
      <c r="X1" s="17" t="s">
        <v>76</v>
      </c>
    </row>
    <row r="2" spans="1:24" x14ac:dyDescent="0.25">
      <c r="A2" s="1" t="s">
        <v>18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4" t="s">
        <v>3</v>
      </c>
      <c r="N2" s="4" t="s">
        <v>14</v>
      </c>
      <c r="O2" s="4" t="s">
        <v>4</v>
      </c>
      <c r="P2" s="4" t="s">
        <v>5</v>
      </c>
      <c r="Q2" s="4" t="s">
        <v>15</v>
      </c>
      <c r="R2" s="4" t="s">
        <v>6</v>
      </c>
      <c r="S2" s="4" t="s">
        <v>7</v>
      </c>
      <c r="T2" s="4" t="s">
        <v>16</v>
      </c>
      <c r="U2" s="5" t="s">
        <v>38</v>
      </c>
      <c r="V2" s="6" t="s">
        <v>39</v>
      </c>
      <c r="W2" s="7" t="s">
        <v>38</v>
      </c>
      <c r="X2" s="18" t="s">
        <v>38</v>
      </c>
    </row>
    <row r="3" spans="1:24" x14ac:dyDescent="0.25">
      <c r="A3" s="8" t="s">
        <v>86</v>
      </c>
      <c r="B3" s="8" t="s">
        <v>0</v>
      </c>
      <c r="C3" s="8" t="s">
        <v>0</v>
      </c>
      <c r="D3" s="8" t="s">
        <v>0</v>
      </c>
      <c r="E3" s="8" t="s">
        <v>0</v>
      </c>
      <c r="F3" s="8" t="s">
        <v>0</v>
      </c>
      <c r="G3" s="8" t="s">
        <v>0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2</v>
      </c>
      <c r="N3" s="20" t="s">
        <v>2</v>
      </c>
      <c r="O3" s="8" t="s">
        <v>2</v>
      </c>
      <c r="P3" s="8" t="s">
        <v>2</v>
      </c>
      <c r="Q3" s="8" t="s">
        <v>2</v>
      </c>
      <c r="R3" s="8" t="s">
        <v>2</v>
      </c>
      <c r="S3" s="8" t="s">
        <v>2</v>
      </c>
      <c r="T3" s="8" t="s">
        <v>2</v>
      </c>
      <c r="U3" s="8" t="s">
        <v>19</v>
      </c>
      <c r="V3" s="8" t="s">
        <v>20</v>
      </c>
      <c r="W3" s="8" t="s">
        <v>21</v>
      </c>
      <c r="X3" s="8" t="s">
        <v>76</v>
      </c>
    </row>
    <row r="4" spans="1:24" x14ac:dyDescent="0.25">
      <c r="A4" s="8" t="s">
        <v>90</v>
      </c>
      <c r="B4" s="8">
        <v>891</v>
      </c>
      <c r="C4" s="8">
        <v>893</v>
      </c>
      <c r="D4" s="8">
        <v>894</v>
      </c>
      <c r="E4" s="8">
        <v>896</v>
      </c>
      <c r="F4" s="8">
        <v>897</v>
      </c>
      <c r="G4" s="8">
        <v>898</v>
      </c>
      <c r="H4" s="8">
        <v>881</v>
      </c>
      <c r="I4" s="8">
        <v>884</v>
      </c>
      <c r="J4" s="8">
        <v>886</v>
      </c>
      <c r="K4" s="8">
        <v>887</v>
      </c>
      <c r="L4" s="8">
        <v>888</v>
      </c>
      <c r="M4" s="8">
        <v>881</v>
      </c>
      <c r="N4" s="20">
        <v>882</v>
      </c>
      <c r="O4" s="8">
        <v>883</v>
      </c>
      <c r="P4" s="8">
        <v>884</v>
      </c>
      <c r="Q4" s="8">
        <v>885</v>
      </c>
      <c r="R4" s="8">
        <v>886</v>
      </c>
      <c r="S4" s="8">
        <v>887</v>
      </c>
      <c r="T4" s="8">
        <v>890</v>
      </c>
      <c r="U4" s="8" t="s">
        <v>65</v>
      </c>
      <c r="V4" s="8" t="s">
        <v>65</v>
      </c>
      <c r="W4" s="8" t="s">
        <v>65</v>
      </c>
      <c r="X4" s="8" t="s">
        <v>78</v>
      </c>
    </row>
    <row r="5" spans="1:24" x14ac:dyDescent="0.25">
      <c r="A5" s="8" t="s">
        <v>87</v>
      </c>
      <c r="B5" s="8" t="s">
        <v>48</v>
      </c>
      <c r="C5" s="8" t="s">
        <v>59</v>
      </c>
      <c r="D5" s="8" t="s">
        <v>50</v>
      </c>
      <c r="E5" s="8" t="s">
        <v>52</v>
      </c>
      <c r="F5" s="8" t="s">
        <v>55</v>
      </c>
      <c r="G5" s="8" t="s">
        <v>57</v>
      </c>
      <c r="H5" s="8" t="s">
        <v>61</v>
      </c>
      <c r="I5" s="8" t="s">
        <v>40</v>
      </c>
      <c r="J5" s="8" t="s">
        <v>42</v>
      </c>
      <c r="K5" s="8" t="s">
        <v>44</v>
      </c>
      <c r="L5" s="8" t="s">
        <v>46</v>
      </c>
      <c r="M5" s="8" t="s">
        <v>63</v>
      </c>
      <c r="N5" s="20" t="s">
        <v>22</v>
      </c>
      <c r="O5" s="8" t="s">
        <v>24</v>
      </c>
      <c r="P5" s="8" t="s">
        <v>27</v>
      </c>
      <c r="Q5" s="8" t="s">
        <v>29</v>
      </c>
      <c r="R5" s="8" t="s">
        <v>32</v>
      </c>
      <c r="S5" s="8" t="s">
        <v>34</v>
      </c>
      <c r="T5" s="8" t="s">
        <v>36</v>
      </c>
      <c r="U5" s="10" t="s">
        <v>67</v>
      </c>
      <c r="V5" s="10" t="s">
        <v>67</v>
      </c>
      <c r="W5" s="10" t="s">
        <v>67</v>
      </c>
      <c r="X5" s="10" t="s">
        <v>79</v>
      </c>
    </row>
    <row r="6" spans="1:24" x14ac:dyDescent="0.25">
      <c r="A6" s="8" t="s">
        <v>88</v>
      </c>
      <c r="B6" s="8" t="s">
        <v>49</v>
      </c>
      <c r="C6" s="8" t="s">
        <v>60</v>
      </c>
      <c r="D6" s="8" t="s">
        <v>51</v>
      </c>
      <c r="E6" s="8" t="s">
        <v>53</v>
      </c>
      <c r="F6" s="8" t="s">
        <v>56</v>
      </c>
      <c r="G6" s="8" t="s">
        <v>58</v>
      </c>
      <c r="H6" s="8" t="s">
        <v>62</v>
      </c>
      <c r="I6" s="8" t="s">
        <v>41</v>
      </c>
      <c r="J6" s="8" t="s">
        <v>43</v>
      </c>
      <c r="K6" s="8" t="s">
        <v>45</v>
      </c>
      <c r="L6" s="8" t="s">
        <v>47</v>
      </c>
      <c r="M6" s="8" t="s">
        <v>64</v>
      </c>
      <c r="N6" s="20" t="s">
        <v>23</v>
      </c>
      <c r="O6" s="8" t="s">
        <v>25</v>
      </c>
      <c r="P6" s="8" t="s">
        <v>28</v>
      </c>
      <c r="Q6" s="8" t="s">
        <v>30</v>
      </c>
      <c r="R6" s="8" t="s">
        <v>33</v>
      </c>
      <c r="S6" s="8" t="s">
        <v>35</v>
      </c>
      <c r="T6" s="8" t="s">
        <v>37</v>
      </c>
      <c r="U6" s="8" t="s">
        <v>66</v>
      </c>
      <c r="V6" s="8" t="s">
        <v>66</v>
      </c>
      <c r="W6" s="8" t="s">
        <v>66</v>
      </c>
      <c r="X6" s="8" t="s">
        <v>80</v>
      </c>
    </row>
    <row r="7" spans="1:24" x14ac:dyDescent="0.25">
      <c r="A7" s="8" t="s">
        <v>89</v>
      </c>
      <c r="B7" s="8">
        <v>78221</v>
      </c>
      <c r="C7" s="8">
        <v>18640</v>
      </c>
      <c r="D7" s="8">
        <v>28273</v>
      </c>
      <c r="E7" s="9" t="s">
        <v>54</v>
      </c>
      <c r="F7" s="8">
        <v>47711</v>
      </c>
      <c r="G7" s="8">
        <v>89081</v>
      </c>
      <c r="H7" s="8">
        <v>85043</v>
      </c>
      <c r="I7" s="8">
        <v>79925</v>
      </c>
      <c r="J7" s="8">
        <v>22812</v>
      </c>
      <c r="K7" s="8">
        <v>30035</v>
      </c>
      <c r="L7" s="8">
        <v>1801</v>
      </c>
      <c r="M7" s="8">
        <v>90731</v>
      </c>
      <c r="N7" s="20">
        <v>85756</v>
      </c>
      <c r="O7" s="9" t="s">
        <v>26</v>
      </c>
      <c r="P7" s="8">
        <v>30549</v>
      </c>
      <c r="Q7" s="9" t="s">
        <v>31</v>
      </c>
      <c r="R7" s="8">
        <v>44481</v>
      </c>
      <c r="S7" s="8">
        <v>46112</v>
      </c>
      <c r="T7" s="8">
        <v>76140</v>
      </c>
      <c r="U7" s="8" t="s">
        <v>68</v>
      </c>
      <c r="V7" s="8" t="s">
        <v>68</v>
      </c>
      <c r="W7" s="8" t="s">
        <v>68</v>
      </c>
      <c r="X7" s="8" t="s">
        <v>81</v>
      </c>
    </row>
    <row r="8" spans="1:24" x14ac:dyDescent="0.25">
      <c r="A8" s="8" t="s">
        <v>69</v>
      </c>
      <c r="B8" s="8" t="s">
        <v>72</v>
      </c>
      <c r="C8" s="8" t="s">
        <v>72</v>
      </c>
      <c r="D8" s="8" t="s">
        <v>72</v>
      </c>
      <c r="E8" s="8" t="s">
        <v>72</v>
      </c>
      <c r="F8" s="8" t="s">
        <v>72</v>
      </c>
      <c r="G8" s="8" t="s">
        <v>72</v>
      </c>
      <c r="H8" s="8" t="s">
        <v>102</v>
      </c>
      <c r="I8" s="8" t="s">
        <v>102</v>
      </c>
      <c r="J8" s="8" t="s">
        <v>102</v>
      </c>
      <c r="K8" s="8" t="s">
        <v>102</v>
      </c>
      <c r="L8" s="8" t="s">
        <v>102</v>
      </c>
      <c r="M8" s="8" t="s">
        <v>92</v>
      </c>
      <c r="N8" s="20" t="s">
        <v>92</v>
      </c>
      <c r="O8" s="8" t="s">
        <v>92</v>
      </c>
      <c r="P8" s="8" t="s">
        <v>92</v>
      </c>
      <c r="Q8" s="8" t="s">
        <v>92</v>
      </c>
      <c r="R8" s="8" t="s">
        <v>92</v>
      </c>
      <c r="S8" s="8" t="s">
        <v>92</v>
      </c>
      <c r="T8" s="8" t="s">
        <v>92</v>
      </c>
      <c r="U8" s="8" t="s">
        <v>65</v>
      </c>
      <c r="V8" s="8" t="s">
        <v>65</v>
      </c>
      <c r="W8" s="8" t="s">
        <v>65</v>
      </c>
      <c r="X8" s="8" t="s">
        <v>72</v>
      </c>
    </row>
    <row r="9" spans="1:24" x14ac:dyDescent="0.25">
      <c r="A9" s="8" t="s">
        <v>70</v>
      </c>
      <c r="B9" s="8" t="s">
        <v>73</v>
      </c>
      <c r="C9" s="8" t="s">
        <v>73</v>
      </c>
      <c r="D9" s="8" t="s">
        <v>73</v>
      </c>
      <c r="E9" s="8" t="s">
        <v>73</v>
      </c>
      <c r="F9" s="8" t="s">
        <v>73</v>
      </c>
      <c r="G9" s="8" t="s">
        <v>73</v>
      </c>
      <c r="H9" s="8" t="s">
        <v>73</v>
      </c>
      <c r="I9" s="8" t="s">
        <v>73</v>
      </c>
      <c r="J9" s="8" t="s">
        <v>73</v>
      </c>
      <c r="K9" s="8" t="s">
        <v>73</v>
      </c>
      <c r="L9" s="8" t="s">
        <v>73</v>
      </c>
      <c r="M9" s="8" t="s">
        <v>73</v>
      </c>
      <c r="N9" s="20" t="s">
        <v>73</v>
      </c>
      <c r="O9" s="8" t="s">
        <v>73</v>
      </c>
      <c r="P9" s="8" t="s">
        <v>73</v>
      </c>
      <c r="Q9" s="8" t="s">
        <v>73</v>
      </c>
      <c r="R9" s="8" t="s">
        <v>73</v>
      </c>
      <c r="S9" s="8" t="s">
        <v>73</v>
      </c>
      <c r="T9" s="8" t="s">
        <v>73</v>
      </c>
      <c r="U9" s="8" t="s">
        <v>97</v>
      </c>
      <c r="V9" s="8" t="s">
        <v>100</v>
      </c>
      <c r="W9" s="8" t="s">
        <v>101</v>
      </c>
      <c r="X9" s="8" t="s">
        <v>73</v>
      </c>
    </row>
    <row r="10" spans="1:24" x14ac:dyDescent="0.25">
      <c r="A10" s="8" t="s">
        <v>71</v>
      </c>
      <c r="B10" s="8" t="s">
        <v>74</v>
      </c>
      <c r="C10" s="8" t="s">
        <v>74</v>
      </c>
      <c r="D10" s="8" t="s">
        <v>74</v>
      </c>
      <c r="E10" s="8" t="s">
        <v>74</v>
      </c>
      <c r="F10" s="8" t="s">
        <v>74</v>
      </c>
      <c r="G10" s="8" t="s">
        <v>74</v>
      </c>
      <c r="H10" s="8" t="s">
        <v>103</v>
      </c>
      <c r="I10" s="8" t="s">
        <v>104</v>
      </c>
      <c r="J10" s="8" t="s">
        <v>105</v>
      </c>
      <c r="K10" s="8" t="s">
        <v>106</v>
      </c>
      <c r="L10" s="8" t="s">
        <v>74</v>
      </c>
      <c r="M10" s="8" t="s">
        <v>74</v>
      </c>
      <c r="N10" s="20" t="s">
        <v>74</v>
      </c>
      <c r="O10" s="8" t="s">
        <v>74</v>
      </c>
      <c r="P10" s="8" t="s">
        <v>74</v>
      </c>
      <c r="Q10" s="8" t="s">
        <v>74</v>
      </c>
      <c r="R10" s="8" t="s">
        <v>74</v>
      </c>
      <c r="S10" s="8" t="s">
        <v>74</v>
      </c>
      <c r="T10" s="8" t="s">
        <v>74</v>
      </c>
      <c r="U10" s="8" t="s">
        <v>98</v>
      </c>
      <c r="V10" s="8" t="s">
        <v>98</v>
      </c>
      <c r="W10" s="8" t="s">
        <v>98</v>
      </c>
      <c r="X10" s="8" t="s">
        <v>74</v>
      </c>
    </row>
    <row r="11" spans="1:24" x14ac:dyDescent="0.25">
      <c r="A11" s="8" t="s">
        <v>77</v>
      </c>
      <c r="B11" s="8" t="s">
        <v>75</v>
      </c>
      <c r="C11" s="8" t="s">
        <v>75</v>
      </c>
      <c r="D11" s="8" t="s">
        <v>75</v>
      </c>
      <c r="E11" s="8" t="s">
        <v>75</v>
      </c>
      <c r="F11" s="8" t="s">
        <v>75</v>
      </c>
      <c r="G11" s="8" t="s">
        <v>75</v>
      </c>
      <c r="H11" s="8" t="s">
        <v>75</v>
      </c>
      <c r="I11" s="8" t="s">
        <v>75</v>
      </c>
      <c r="J11" s="8" t="s">
        <v>75</v>
      </c>
      <c r="K11" s="8" t="s">
        <v>75</v>
      </c>
      <c r="L11" s="8" t="s">
        <v>75</v>
      </c>
      <c r="M11" s="8" t="s">
        <v>75</v>
      </c>
      <c r="N11" s="20" t="s">
        <v>75</v>
      </c>
      <c r="O11" s="8" t="s">
        <v>75</v>
      </c>
      <c r="P11" s="8" t="s">
        <v>75</v>
      </c>
      <c r="Q11" s="8" t="s">
        <v>75</v>
      </c>
      <c r="R11" s="8" t="s">
        <v>75</v>
      </c>
      <c r="S11" s="8" t="s">
        <v>75</v>
      </c>
      <c r="T11" s="8" t="s">
        <v>75</v>
      </c>
      <c r="U11" s="8" t="s">
        <v>99</v>
      </c>
      <c r="V11" s="8" t="s">
        <v>99</v>
      </c>
      <c r="W11" s="8" t="s">
        <v>99</v>
      </c>
      <c r="X11" s="8" t="s">
        <v>75</v>
      </c>
    </row>
    <row r="12" spans="1:24" x14ac:dyDescent="0.25">
      <c r="A12" s="8" t="s">
        <v>82</v>
      </c>
      <c r="B12" s="8" t="s">
        <v>72</v>
      </c>
      <c r="C12" s="8" t="s">
        <v>72</v>
      </c>
      <c r="D12" s="8" t="s">
        <v>72</v>
      </c>
      <c r="E12" s="8" t="s">
        <v>72</v>
      </c>
      <c r="F12" s="8" t="s">
        <v>72</v>
      </c>
      <c r="G12" s="8" t="s">
        <v>72</v>
      </c>
      <c r="H12" s="8" t="str">
        <f t="shared" ref="H12:J16" si="0">H3</f>
        <v>MARSHALLS</v>
      </c>
      <c r="I12" s="8" t="str">
        <f t="shared" si="0"/>
        <v>MARSHALLS</v>
      </c>
      <c r="J12" s="8" t="str">
        <f t="shared" si="0"/>
        <v>MARSHALLS</v>
      </c>
      <c r="K12" s="8" t="str">
        <f>K3</f>
        <v>MARSHALLS</v>
      </c>
      <c r="L12" s="8" t="s">
        <v>1</v>
      </c>
      <c r="M12" s="8" t="str">
        <f>M3</f>
        <v>HOME GOODS</v>
      </c>
      <c r="N12" s="20" t="str">
        <f>N3</f>
        <v>HOME GOODS</v>
      </c>
      <c r="O12" s="20" t="str">
        <f t="shared" ref="O12:R12" si="1">O3</f>
        <v>HOME GOODS</v>
      </c>
      <c r="P12" s="20" t="str">
        <f t="shared" si="1"/>
        <v>HOME GOODS</v>
      </c>
      <c r="Q12" s="20" t="str">
        <f t="shared" si="1"/>
        <v>HOME GOODS</v>
      </c>
      <c r="R12" s="20" t="str">
        <f t="shared" si="1"/>
        <v>HOME GOODS</v>
      </c>
      <c r="S12" s="20" t="str">
        <f t="shared" ref="S12:T12" si="2">S3</f>
        <v>HOME GOODS</v>
      </c>
      <c r="T12" s="20" t="str">
        <f t="shared" si="2"/>
        <v>HOME GOODS</v>
      </c>
      <c r="U12" s="8" t="s">
        <v>65</v>
      </c>
      <c r="V12" s="8" t="s">
        <v>65</v>
      </c>
      <c r="W12" s="8" t="s">
        <v>65</v>
      </c>
      <c r="X12" s="8" t="s">
        <v>78</v>
      </c>
    </row>
    <row r="13" spans="1:24" x14ac:dyDescent="0.25">
      <c r="A13" s="8" t="s">
        <v>91</v>
      </c>
      <c r="B13" s="8">
        <v>891</v>
      </c>
      <c r="C13" s="8">
        <v>893</v>
      </c>
      <c r="D13" s="8">
        <v>894</v>
      </c>
      <c r="E13" s="8">
        <v>896</v>
      </c>
      <c r="F13" s="8">
        <v>897</v>
      </c>
      <c r="G13" s="8">
        <v>898</v>
      </c>
      <c r="H13" s="8">
        <f t="shared" si="0"/>
        <v>881</v>
      </c>
      <c r="I13" s="8">
        <f t="shared" si="0"/>
        <v>884</v>
      </c>
      <c r="J13" s="8">
        <f t="shared" si="0"/>
        <v>886</v>
      </c>
      <c r="K13" s="8">
        <f t="shared" ref="K13:K16" si="3">K4</f>
        <v>887</v>
      </c>
      <c r="L13" s="8">
        <v>888</v>
      </c>
      <c r="M13" s="8">
        <f t="shared" ref="M13:N13" si="4">M4</f>
        <v>881</v>
      </c>
      <c r="N13" s="20">
        <f t="shared" si="4"/>
        <v>882</v>
      </c>
      <c r="O13" s="20">
        <f t="shared" ref="O13:R13" si="5">O4</f>
        <v>883</v>
      </c>
      <c r="P13" s="20">
        <f t="shared" si="5"/>
        <v>884</v>
      </c>
      <c r="Q13" s="20">
        <f t="shared" si="5"/>
        <v>885</v>
      </c>
      <c r="R13" s="20">
        <f t="shared" si="5"/>
        <v>886</v>
      </c>
      <c r="S13" s="20">
        <f t="shared" ref="S13:T13" si="6">S4</f>
        <v>887</v>
      </c>
      <c r="T13" s="20">
        <f t="shared" si="6"/>
        <v>890</v>
      </c>
    </row>
    <row r="14" spans="1:24" x14ac:dyDescent="0.25">
      <c r="A14" s="8" t="s">
        <v>83</v>
      </c>
      <c r="B14" s="8" t="s">
        <v>48</v>
      </c>
      <c r="C14" s="8" t="s">
        <v>59</v>
      </c>
      <c r="D14" s="8" t="s">
        <v>50</v>
      </c>
      <c r="E14" s="8" t="s">
        <v>52</v>
      </c>
      <c r="F14" s="8" t="s">
        <v>55</v>
      </c>
      <c r="G14" s="8" t="s">
        <v>57</v>
      </c>
      <c r="H14" s="8" t="str">
        <f t="shared" si="0"/>
        <v>3000 S. 55TH AVENUE</v>
      </c>
      <c r="I14" s="8" t="str">
        <f t="shared" si="0"/>
        <v>3900 GLOBAL REACH DR</v>
      </c>
      <c r="J14" s="8" t="str">
        <f t="shared" si="0"/>
        <v>701 N. MAIN STREET</v>
      </c>
      <c r="K14" s="8" t="str">
        <f t="shared" si="3"/>
        <v>2300 MILLER ROAD</v>
      </c>
      <c r="L14" s="8" t="s">
        <v>46</v>
      </c>
      <c r="M14" s="8" t="s">
        <v>93</v>
      </c>
      <c r="N14" s="20" t="str">
        <f t="shared" ref="N14:R16" si="7">N5</f>
        <v>6803 SOUTH PALO VERDE RD</v>
      </c>
      <c r="O14" s="20" t="str">
        <f t="shared" si="7"/>
        <v>50 BRYLA STREET</v>
      </c>
      <c r="P14" s="20" t="str">
        <f t="shared" si="7"/>
        <v>125 LOGISTICS CENTER PKWY</v>
      </c>
      <c r="Q14" s="20" t="str">
        <f t="shared" si="7"/>
        <v>1415 BLUE HILL AVE</v>
      </c>
      <c r="R14" s="20" t="str">
        <f t="shared" si="7"/>
        <v>2900 ELLSWORTH BAILEY RD</v>
      </c>
      <c r="S14" s="20" t="str">
        <f t="shared" ref="S14:T14" si="8">S5</f>
        <v>850 NORTHFIELD DR</v>
      </c>
      <c r="T14" s="20" t="str">
        <f t="shared" si="8"/>
        <v>8201 OAK GROVE ROAD</v>
      </c>
      <c r="U14" s="10" t="s">
        <v>67</v>
      </c>
      <c r="V14" s="10" t="s">
        <v>95</v>
      </c>
      <c r="W14" s="10" t="s">
        <v>96</v>
      </c>
      <c r="X14" s="10" t="s">
        <v>79</v>
      </c>
    </row>
    <row r="15" spans="1:24" x14ac:dyDescent="0.25">
      <c r="A15" s="8" t="s">
        <v>84</v>
      </c>
      <c r="B15" s="8" t="s">
        <v>49</v>
      </c>
      <c r="C15" s="8" t="s">
        <v>60</v>
      </c>
      <c r="D15" s="8" t="s">
        <v>51</v>
      </c>
      <c r="E15" s="8" t="s">
        <v>53</v>
      </c>
      <c r="F15" s="8" t="s">
        <v>56</v>
      </c>
      <c r="G15" s="8" t="s">
        <v>58</v>
      </c>
      <c r="H15" s="8" t="str">
        <f t="shared" si="0"/>
        <v>PHOENIX, AZ</v>
      </c>
      <c r="I15" s="8" t="str">
        <f t="shared" si="0"/>
        <v>EL PASO, TX</v>
      </c>
      <c r="J15" s="8" t="str">
        <f t="shared" si="0"/>
        <v>BRIDGEWATER, VA</v>
      </c>
      <c r="K15" s="8" t="str">
        <f t="shared" si="3"/>
        <v>DECATUR, GA</v>
      </c>
      <c r="L15" s="8" t="s">
        <v>47</v>
      </c>
      <c r="M15" s="8" t="s">
        <v>63</v>
      </c>
      <c r="N15" s="20" t="str">
        <f t="shared" si="7"/>
        <v>TUCSON, AZ</v>
      </c>
      <c r="O15" s="20" t="str">
        <f t="shared" si="7"/>
        <v>CARTERET, NJ</v>
      </c>
      <c r="P15" s="20" t="str">
        <f t="shared" si="7"/>
        <v>JEFFERSON, GA</v>
      </c>
      <c r="Q15" s="20" t="str">
        <f t="shared" si="7"/>
        <v>BLOOMFIELD, CT</v>
      </c>
      <c r="R15" s="20" t="str">
        <f t="shared" si="7"/>
        <v>LORDSTOWN, OH</v>
      </c>
      <c r="S15" s="20" t="str">
        <f t="shared" ref="S15:T15" si="9">S6</f>
        <v>BROWNSBURG, IN</v>
      </c>
      <c r="T15" s="20" t="str">
        <f t="shared" si="9"/>
        <v>FORT WORTH, TX</v>
      </c>
      <c r="U15" s="8" t="s">
        <v>66</v>
      </c>
      <c r="V15" s="8" t="s">
        <v>66</v>
      </c>
      <c r="W15" s="8" t="s">
        <v>66</v>
      </c>
      <c r="X15" s="8" t="s">
        <v>80</v>
      </c>
    </row>
    <row r="16" spans="1:24" x14ac:dyDescent="0.25">
      <c r="A16" s="8" t="s">
        <v>85</v>
      </c>
      <c r="B16" s="8">
        <v>78221</v>
      </c>
      <c r="C16" s="8">
        <v>18640</v>
      </c>
      <c r="D16" s="8">
        <v>28273</v>
      </c>
      <c r="E16" s="8" t="s">
        <v>54</v>
      </c>
      <c r="F16" s="8">
        <v>47711</v>
      </c>
      <c r="G16" s="8">
        <v>89081</v>
      </c>
      <c r="H16" s="8">
        <f t="shared" si="0"/>
        <v>85043</v>
      </c>
      <c r="I16" s="8">
        <f t="shared" si="0"/>
        <v>79925</v>
      </c>
      <c r="J16" s="8">
        <f t="shared" si="0"/>
        <v>22812</v>
      </c>
      <c r="K16" s="8">
        <f t="shared" si="3"/>
        <v>30035</v>
      </c>
      <c r="L16" s="8">
        <v>1801</v>
      </c>
      <c r="M16" s="8" t="s">
        <v>94</v>
      </c>
      <c r="N16" s="20">
        <f t="shared" si="7"/>
        <v>85756</v>
      </c>
      <c r="O16" s="20" t="str">
        <f t="shared" si="7"/>
        <v>07008</v>
      </c>
      <c r="P16" s="20">
        <f t="shared" si="7"/>
        <v>30549</v>
      </c>
      <c r="Q16" s="20" t="str">
        <f t="shared" si="7"/>
        <v>06002</v>
      </c>
      <c r="R16" s="20">
        <f t="shared" si="7"/>
        <v>44481</v>
      </c>
      <c r="S16" s="20">
        <f t="shared" ref="S16:T16" si="10">S7</f>
        <v>46112</v>
      </c>
      <c r="T16" s="20">
        <f t="shared" si="10"/>
        <v>76140</v>
      </c>
      <c r="U16" s="8" t="s">
        <v>68</v>
      </c>
      <c r="V16" s="8" t="s">
        <v>68</v>
      </c>
      <c r="W16" s="8" t="s">
        <v>68</v>
      </c>
      <c r="X16" s="8" t="s">
        <v>81</v>
      </c>
    </row>
    <row r="17" spans="23:23" x14ac:dyDescent="0.25">
      <c r="W17" s="19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Bruno</dc:creator>
  <cp:lastModifiedBy>Tommaso Barsotti</cp:lastModifiedBy>
  <dcterms:created xsi:type="dcterms:W3CDTF">2026-04-21T15:52:04Z</dcterms:created>
  <dcterms:modified xsi:type="dcterms:W3CDTF">2026-04-23T16:56:40Z</dcterms:modified>
</cp:coreProperties>
</file>